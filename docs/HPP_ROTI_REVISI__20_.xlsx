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nanda\Downloads\"/>
    </mc:Choice>
  </mc:AlternateContent>
  <xr:revisionPtr revIDLastSave="0" documentId="13_ncr:1_{D57F5C2B-9D7A-4108-ACD5-429CFAC827B0}" xr6:coauthVersionLast="45" xr6:coauthVersionMax="45" xr10:uidLastSave="{00000000-0000-0000-0000-000000000000}"/>
  <bookViews>
    <workbookView xWindow="-108" yWindow="-108" windowWidth="23256" windowHeight="13176" tabRatio="817" activeTab="4" xr2:uid="{00000000-000D-0000-FFFF-FFFF00000000}"/>
  </bookViews>
  <sheets>
    <sheet name="Harga Bahan" sheetId="1" r:id="rId1"/>
    <sheet name="Resep &amp; HPP" sheetId="2" r:id="rId2"/>
    <sheet name="Tenaga Kerja &amp; Overhead" sheetId="3" r:id="rId3"/>
    <sheet name="HPP Gabungan (Full Cost)" sheetId="4" r:id="rId4"/>
    <sheet name="Margin &amp; Simulasi Sewa" sheetId="5" r:id="rId5"/>
  </sheets>
  <calcPr calcId="191029" iterateDelta="1E-4"/>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8" i="5" l="1"/>
  <c r="E18" i="5" s="1"/>
  <c r="D29" i="5"/>
  <c r="A24" i="5"/>
  <c r="A23" i="5"/>
  <c r="A22" i="5"/>
  <c r="A21" i="5"/>
  <c r="A20" i="5"/>
  <c r="A19" i="5"/>
  <c r="A18" i="5"/>
  <c r="A17" i="5"/>
  <c r="H14" i="5"/>
  <c r="G14" i="5"/>
  <c r="F14" i="5"/>
  <c r="A12" i="4"/>
  <c r="A11" i="4"/>
  <c r="A10" i="4"/>
  <c r="A9" i="4"/>
  <c r="A8" i="4"/>
  <c r="A7" i="4"/>
  <c r="A6" i="4"/>
  <c r="A5" i="4"/>
  <c r="D81" i="3"/>
  <c r="D77" i="3"/>
  <c r="D76" i="3"/>
  <c r="D73" i="3"/>
  <c r="D79" i="3" s="1"/>
  <c r="D71" i="3"/>
  <c r="D72" i="3" s="1"/>
  <c r="D61" i="3"/>
  <c r="D62" i="3" s="1"/>
  <c r="D60" i="3"/>
  <c r="E49" i="3"/>
  <c r="E48" i="3"/>
  <c r="E47" i="3"/>
  <c r="E46" i="3"/>
  <c r="E45" i="3"/>
  <c r="E44" i="3"/>
  <c r="E43" i="3"/>
  <c r="E42" i="3"/>
  <c r="E51" i="3" s="1"/>
  <c r="E53" i="3" s="1"/>
  <c r="D34" i="3"/>
  <c r="D33" i="3"/>
  <c r="D32" i="3"/>
  <c r="E52" i="3" s="1"/>
  <c r="D31" i="3"/>
  <c r="D24" i="3"/>
  <c r="D10" i="3"/>
  <c r="D9" i="3"/>
  <c r="D60" i="2"/>
  <c r="E60" i="2" s="1"/>
  <c r="D59" i="2"/>
  <c r="E59" i="2" s="1"/>
  <c r="D34" i="2"/>
  <c r="E34" i="2" s="1"/>
  <c r="D33" i="2"/>
  <c r="E33" i="2" s="1"/>
  <c r="D32" i="2"/>
  <c r="E32" i="2" s="1"/>
  <c r="D21" i="2"/>
  <c r="E21" i="2" s="1"/>
  <c r="E19" i="2"/>
  <c r="D19" i="2"/>
  <c r="D12" i="2"/>
  <c r="E12" i="2" s="1"/>
  <c r="D11" i="2"/>
  <c r="E11" i="2" s="1"/>
  <c r="E8" i="2"/>
  <c r="D8" i="2"/>
  <c r="F22" i="1"/>
  <c r="D42" i="2" s="1"/>
  <c r="E42" i="2" s="1"/>
  <c r="F21" i="1"/>
  <c r="D43" i="2" s="1"/>
  <c r="E43" i="2" s="1"/>
  <c r="F20" i="1"/>
  <c r="F19" i="1"/>
  <c r="F18" i="1"/>
  <c r="D41" i="2" s="1"/>
  <c r="E41" i="2" s="1"/>
  <c r="E44" i="2" s="1"/>
  <c r="E46" i="2" s="1"/>
  <c r="E48" i="2" s="1"/>
  <c r="F17" i="1"/>
  <c r="D52" i="2" s="1"/>
  <c r="E52" i="2" s="1"/>
  <c r="E53" i="2" s="1"/>
  <c r="E55" i="2" s="1"/>
  <c r="F16" i="1"/>
  <c r="F15" i="1"/>
  <c r="F14" i="1"/>
  <c r="F13" i="1"/>
  <c r="F12" i="1"/>
  <c r="D25" i="2" s="1"/>
  <c r="E25" i="2" s="1"/>
  <c r="F11" i="1"/>
  <c r="D24" i="2" s="1"/>
  <c r="E24" i="2" s="1"/>
  <c r="F10" i="1"/>
  <c r="D10" i="2" s="1"/>
  <c r="E10" i="2" s="1"/>
  <c r="F9" i="1"/>
  <c r="D9" i="2" s="1"/>
  <c r="E9" i="2" s="1"/>
  <c r="F8" i="1"/>
  <c r="F7" i="1"/>
  <c r="F6" i="1"/>
  <c r="F5" i="1"/>
  <c r="D6" i="2" s="1"/>
  <c r="E6" i="2" s="1"/>
  <c r="F4" i="1"/>
  <c r="D20" i="2" s="1"/>
  <c r="E20" i="2" s="1"/>
  <c r="E35" i="2" l="1"/>
  <c r="E37" i="2" s="1"/>
  <c r="E61" i="2"/>
  <c r="C69" i="2"/>
  <c r="C70" i="2"/>
  <c r="C72" i="2"/>
  <c r="C71" i="2"/>
  <c r="E13" i="2"/>
  <c r="E15" i="2" s="1"/>
  <c r="C22" i="5"/>
  <c r="C17" i="5"/>
  <c r="C24" i="5"/>
  <c r="C19" i="5"/>
  <c r="C21" i="5"/>
  <c r="C23" i="5"/>
  <c r="D78" i="3"/>
  <c r="D80" i="3" s="1"/>
  <c r="D82" i="3" s="1"/>
  <c r="D12" i="3" s="1"/>
  <c r="D35" i="3" s="1"/>
  <c r="D37" i="3" s="1"/>
  <c r="D74" i="3"/>
  <c r="C20" i="5"/>
  <c r="D23" i="2"/>
  <c r="E23" i="2" s="1"/>
  <c r="D7" i="2"/>
  <c r="E7" i="2" s="1"/>
  <c r="D22" i="2"/>
  <c r="E22" i="2" s="1"/>
  <c r="E26" i="2" s="1"/>
  <c r="E28" i="2" s="1"/>
  <c r="B70" i="2" l="1"/>
  <c r="B72" i="2"/>
  <c r="B68" i="2"/>
  <c r="B66" i="2"/>
  <c r="D18" i="5"/>
  <c r="B18" i="5"/>
  <c r="D63" i="3"/>
  <c r="D13" i="3"/>
  <c r="D23" i="5"/>
  <c r="B23" i="5"/>
  <c r="D21" i="5"/>
  <c r="B21" i="5"/>
  <c r="B19" i="5"/>
  <c r="D19" i="5"/>
  <c r="D36" i="3"/>
  <c r="D38" i="3" s="1"/>
  <c r="D24" i="5"/>
  <c r="B24" i="5"/>
  <c r="D17" i="5"/>
  <c r="B17" i="5"/>
  <c r="C25" i="5"/>
  <c r="B67" i="2"/>
  <c r="B69" i="2"/>
  <c r="B71" i="2"/>
  <c r="B65" i="2"/>
  <c r="B22" i="5"/>
  <c r="D22" i="5"/>
  <c r="D72" i="2"/>
  <c r="D67" i="2"/>
  <c r="D69" i="2"/>
  <c r="D71" i="2"/>
  <c r="D66" i="2"/>
  <c r="D65" i="2"/>
  <c r="D68" i="2"/>
  <c r="D70" i="2"/>
  <c r="D54" i="3"/>
  <c r="D14" i="3"/>
  <c r="D20" i="5"/>
  <c r="B20" i="5"/>
  <c r="D15" i="3"/>
  <c r="C67" i="2"/>
  <c r="C68" i="2"/>
  <c r="D25" i="5" l="1"/>
  <c r="D30" i="5" s="1"/>
  <c r="D16" i="3"/>
  <c r="C11" i="4"/>
  <c r="C8" i="4"/>
  <c r="C5" i="4"/>
  <c r="C7" i="4"/>
  <c r="C10" i="4"/>
  <c r="C12" i="4"/>
  <c r="C9" i="4"/>
  <c r="C6" i="4"/>
  <c r="E67" i="2" l="1"/>
  <c r="F67" i="2" s="1"/>
  <c r="B7" i="4" s="1"/>
  <c r="D7" i="4" s="1"/>
  <c r="B8" i="5" s="1"/>
  <c r="D8" i="5" s="1"/>
  <c r="E71" i="2"/>
  <c r="F71" i="2" s="1"/>
  <c r="B11" i="4" s="1"/>
  <c r="D11" i="4" s="1"/>
  <c r="B12" i="5" s="1"/>
  <c r="D12" i="5" s="1"/>
  <c r="E69" i="2"/>
  <c r="F69" i="2" s="1"/>
  <c r="B9" i="4" s="1"/>
  <c r="D9" i="4" s="1"/>
  <c r="B10" i="5" s="1"/>
  <c r="D10" i="5" s="1"/>
  <c r="E66" i="2"/>
  <c r="F66" i="2" s="1"/>
  <c r="B6" i="4" s="1"/>
  <c r="D6" i="4" s="1"/>
  <c r="B7" i="5" s="1"/>
  <c r="D7" i="5" s="1"/>
  <c r="E68" i="2"/>
  <c r="F68" i="2" s="1"/>
  <c r="B8" i="4" s="1"/>
  <c r="D8" i="4" s="1"/>
  <c r="B9" i="5" s="1"/>
  <c r="D9" i="5" s="1"/>
  <c r="E70" i="2"/>
  <c r="F70" i="2" s="1"/>
  <c r="B10" i="4" s="1"/>
  <c r="D10" i="4" s="1"/>
  <c r="B11" i="5" s="1"/>
  <c r="D11" i="5" s="1"/>
  <c r="E65" i="2"/>
  <c r="F65" i="2" s="1"/>
  <c r="B5" i="4" s="1"/>
  <c r="D5" i="4" s="1"/>
  <c r="B6" i="5" s="1"/>
  <c r="D6" i="5" s="1"/>
  <c r="E72" i="2"/>
  <c r="F72" i="2" s="1"/>
  <c r="B12" i="4" s="1"/>
  <c r="D12" i="4" s="1"/>
  <c r="B13" i="5" s="1"/>
  <c r="D13" i="5" s="1"/>
  <c r="E13" i="5" l="1"/>
  <c r="E24" i="5"/>
  <c r="E6" i="5"/>
  <c r="E17" i="5"/>
  <c r="E11" i="5"/>
  <c r="E22" i="5"/>
  <c r="E9" i="5"/>
  <c r="E20" i="5"/>
  <c r="E7" i="5"/>
  <c r="E10" i="5"/>
  <c r="E21" i="5"/>
  <c r="E12" i="5"/>
  <c r="E23" i="5"/>
  <c r="E8" i="5"/>
  <c r="E19" i="5"/>
  <c r="E25" i="5" l="1"/>
  <c r="E30" i="5" s="1"/>
  <c r="F30" i="5" s="1"/>
  <c r="D31" i="5" l="1"/>
  <c r="E31" i="5" s="1"/>
  <c r="F31" i="5" s="1"/>
  <c r="E29" i="5"/>
  <c r="F29"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0" authorId="0" shapeId="0" xr:uid="{00000000-0006-0000-0100-000001000000}">
      <text>
        <r>
          <rPr>
            <sz val="11"/>
            <color theme="1"/>
            <rFont val="Calibri"/>
            <family val="2"/>
            <charset val="1"/>
          </rPr>
          <t>Dikonfirmasi user: 3 butir telur utuh, @60 gram/butir = 180 gram.</t>
        </r>
      </text>
    </comment>
    <comment ref="B23" authorId="0" shapeId="0" xr:uid="{00000000-0006-0000-0100-000002000000}">
      <text>
        <r>
          <rPr>
            <sz val="11"/>
            <color theme="1"/>
            <rFont val="Calibri"/>
            <family val="2"/>
            <charset val="1"/>
          </rPr>
          <t>Dikonfirmasi user: 3 butir telur utuh, @60 gram/butir = 180 gram.</t>
        </r>
      </text>
    </comment>
    <comment ref="B42" authorId="0" shapeId="0" xr:uid="{00000000-0006-0000-0100-000003000000}">
      <text>
        <r>
          <rPr>
            <sz val="11"/>
            <color theme="1"/>
            <rFont val="Calibri"/>
            <family val="2"/>
            <charset val="1"/>
          </rPr>
          <t>Dikonfirmasi user: Rp15.000 untuk 2 biji, dipakai semua (2 biji) untuk 1kg daging ini.</t>
        </r>
      </text>
    </comment>
    <comment ref="B43" authorId="0" shapeId="0" xr:uid="{00000000-0006-0000-0100-000004000000}">
      <text>
        <r>
          <rPr>
            <sz val="11"/>
            <color theme="1"/>
            <rFont val="Calibri"/>
            <family val="2"/>
            <charset val="1"/>
          </rPr>
          <t>Dikonfirmasi user: kundur dipakai semua (1 bungkus 500 gram) untuk 1kg daging ini.</t>
        </r>
      </text>
    </comment>
    <comment ref="E45" authorId="0" shapeId="0" xr:uid="{00000000-0006-0000-0100-000005000000}">
      <text>
        <r>
          <rPr>
            <sz val="11"/>
            <color theme="1"/>
            <rFont val="Calibri"/>
            <family val="2"/>
            <charset val="1"/>
          </rPr>
          <t>Dikonfirmasi user: biaya flat borongan untuk bumbu-bumbu lain (bawang putih, merica, dll dijadikan satu) sebesar Rp10.000 per batch.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9" authorId="0" shapeId="0" xr:uid="{00000000-0006-0000-0200-000001000000}">
      <text>
        <r>
          <rPr>
            <sz val="11"/>
            <color theme="1"/>
            <rFont val="Calibri"/>
            <family val="2"/>
            <charset val="1"/>
          </rPr>
          <t>Isi jumlah jam lembur hari ini. Rate: Rp10.000/jam.</t>
        </r>
      </text>
    </comment>
    <comment ref="D12" authorId="0" shapeId="0" xr:uid="{00000000-0006-0000-0200-000002000000}">
      <text>
        <r>
          <rPr>
            <sz val="11"/>
            <color theme="1"/>
            <rFont val="Calibri"/>
            <family val="2"/>
            <charset val="1"/>
          </rPr>
          <t>Estimasi user: 40-50 loyang/hari, dipakai titik tengah 45. Bisa diubah sesuai kondisi harian.</t>
        </r>
      </text>
    </comment>
    <comment ref="D14" authorId="0" shapeId="0" xr:uid="{00000000-0006-0000-0200-000003000000}">
      <text>
        <r>
          <rPr>
            <sz val="11"/>
            <color theme="1"/>
            <rFont val="Calibri"/>
            <family val="2"/>
            <charset val="1"/>
          </rPr>
          <t>Opsional. Daripada hitung detail umur pakai tiap alat (ribet &amp; alat sudah lama), lebih simpel pakai alokasi flat, misal Rp1.000-2.000/pcs sebagai dana sisihan ganti alat. Isi 0 kalau mau di-skip dulu.</t>
        </r>
      </text>
    </comment>
    <comment ref="D15" authorId="0" shapeId="0" xr:uid="{00000000-0006-0000-0200-000004000000}">
      <text>
        <r>
          <rPr>
            <sz val="11"/>
            <color theme="1"/>
            <rFont val="Calibri"/>
            <family val="2"/>
            <charset val="1"/>
          </rPr>
          <t>Belum dihitung karena butuh data daya (watt) alat yang dipakai &amp; tarif listrik per kWh. Isi manual per pcs kalau sudah ada datanya, atau biarkan 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9" authorId="0" shapeId="0" xr:uid="{00000000-0006-0000-0400-000001000000}">
      <text>
        <r>
          <rPr>
            <sz val="11"/>
            <color theme="1"/>
            <rFont val="Calibri"/>
            <family val="2"/>
            <charset val="1"/>
          </rPr>
          <t>Isi nominal sewa flat yang mau ditawarkan/dinego per bulan.</t>
        </r>
      </text>
    </comment>
    <comment ref="C30" authorId="0" shapeId="0" xr:uid="{00000000-0006-0000-0400-000002000000}">
      <text>
        <r>
          <rPr>
            <sz val="11"/>
            <color theme="1"/>
            <rFont val="Calibri"/>
            <family val="2"/>
            <charset val="1"/>
          </rPr>
          <t>Isi persentase yang mau ditawarkan dari OMZET (bukan profit), contoh 5%.</t>
        </r>
      </text>
    </comment>
  </commentList>
</comments>
</file>

<file path=xl/sharedStrings.xml><?xml version="1.0" encoding="utf-8"?>
<sst xmlns="http://schemas.openxmlformats.org/spreadsheetml/2006/main" count="339" uniqueCount="213">
  <si>
    <t>DAFTAR HARGA BAHAN BAKU (dikonversi ke harga per gram/pcs)</t>
  </si>
  <si>
    <t>No</t>
  </si>
  <si>
    <t>Item</t>
  </si>
  <si>
    <t>Harga Beli (Rp)</t>
  </si>
  <si>
    <t>Isi Kemasan</t>
  </si>
  <si>
    <t>Satuan</t>
  </si>
  <si>
    <t>Harga per Satuan (Rp)</t>
  </si>
  <si>
    <t>Terigu Golden eagle</t>
  </si>
  <si>
    <t>gram</t>
  </si>
  <si>
    <t>Terigu gandum whole wheat bungasari</t>
  </si>
  <si>
    <t>Gandum Kasar</t>
  </si>
  <si>
    <t>Whole wheat natural</t>
  </si>
  <si>
    <t>Ragi permifan 2 in 1</t>
  </si>
  <si>
    <t>Gula pasir</t>
  </si>
  <si>
    <t>Telor</t>
  </si>
  <si>
    <t>Mother choice</t>
  </si>
  <si>
    <t>Garam</t>
  </si>
  <si>
    <t>Coklat</t>
  </si>
  <si>
    <t>Keju</t>
  </si>
  <si>
    <t>Elmer glaze</t>
  </si>
  <si>
    <t>SKM</t>
  </si>
  <si>
    <t>Coklat ceres</t>
  </si>
  <si>
    <t>Daging</t>
  </si>
  <si>
    <t>Lunch box</t>
  </si>
  <si>
    <t>pcs</t>
  </si>
  <si>
    <t>Kresek</t>
  </si>
  <si>
    <t>Kundur</t>
  </si>
  <si>
    <t>Bombay</t>
  </si>
  <si>
    <t>biji</t>
  </si>
  <si>
    <t>Keterangan:</t>
  </si>
  <si>
    <t>Kuning</t>
  </si>
  <si>
    <t>harga placeholder, perlu diisi harga sebenarnya</t>
  </si>
  <si>
    <t>Catatan</t>
  </si>
  <si>
    <t>Harga di atas sudah pakai HARGA TERTINGGI yang pernah dibayar (bukan rata-rata) - kebijakan konservatif yang disengaja untuk buffer margin &amp; posisi nego, bukan kesalahan data.</t>
  </si>
  <si>
    <t>PERHITUNGAN HPP ROTI</t>
  </si>
  <si>
    <t>Asumsi: 1 loyang = 1 pcs roti. Bahan dicari otomatis dari sheet 'Harga Bahan' (INDEX/MATCH).</t>
  </si>
  <si>
    <t>Resep Dasar - Varian A (pakai Whole Wheat Bungasari)  (hasil 8 loyang)</t>
  </si>
  <si>
    <t>Pemakaian</t>
  </si>
  <si>
    <t>Biaya (Rp)</t>
  </si>
  <si>
    <t>g</t>
  </si>
  <si>
    <t>Subtotal</t>
  </si>
  <si>
    <t>Jumlah loyang/pcs pada resep ini</t>
  </si>
  <si>
    <t>Biaya Adonan per Pcs (Varian A)</t>
  </si>
  <si>
    <t>Resep Dasar - Varian B (pakai Whole Wheat Natural)  (hasil 8 loyang)</t>
  </si>
  <si>
    <t>Biaya Adonan per Pcs (Varian B)</t>
  </si>
  <si>
    <t>Filling Keju  (untuk 15 roti)</t>
  </si>
  <si>
    <t>Jumlah roti pada resep ini</t>
  </si>
  <si>
    <t>Biaya Filling Keju per Pcs</t>
  </si>
  <si>
    <t>Filling Daging  (untuk 30 loyang (basis 1kg daging))</t>
  </si>
  <si>
    <t>Bumbu lain-lain (biaya langsung per batch)</t>
  </si>
  <si>
    <t>Total Biaya Filling Daging</t>
  </si>
  <si>
    <t>Jumlah loyang pada resep ini</t>
  </si>
  <si>
    <t>Biaya Filling Daging per Pcs</t>
  </si>
  <si>
    <t>Filling Coklat  (untuk 16 loyang)</t>
  </si>
  <si>
    <t>Biaya Filling Coklat per Pcs</t>
  </si>
  <si>
    <t>Kemasan (per pcs)</t>
  </si>
  <si>
    <t>Total Kemasan per Pcs</t>
  </si>
  <si>
    <t>RINGKASAN HPP PER JENIS ROTI</t>
  </si>
  <si>
    <t>Jenis Roti</t>
  </si>
  <si>
    <t>Biaya Adonan</t>
  </si>
  <si>
    <t>Biaya Filling</t>
  </si>
  <si>
    <t>Biaya Kemasan</t>
  </si>
  <si>
    <t>Overhead (TK+Gas+dll)</t>
  </si>
  <si>
    <t>HPP per Pcs</t>
  </si>
  <si>
    <t>Roti Original - Adonan Bungasari</t>
  </si>
  <si>
    <t>Roti Original - Adonan Natural</t>
  </si>
  <si>
    <t>Roti Keju - Adonan Bungasari</t>
  </si>
  <si>
    <t>Roti Keju - Adonan Natural</t>
  </si>
  <si>
    <t>Roti Daging - Adonan Bungasari</t>
  </si>
  <si>
    <t>Roti Daging - Adonan Natural</t>
  </si>
  <si>
    <t>Roti Coklat - Adonan Bungasari</t>
  </si>
  <si>
    <t>Roti Coklat - Adonan Natural</t>
  </si>
  <si>
    <t>Oranye</t>
  </si>
  <si>
    <t>angka hasil koreksi/asumsi dari data asli yang janggal (lihat komentar cell)</t>
  </si>
  <si>
    <t>Kuning (di sheet Harga Bahan)</t>
  </si>
  <si>
    <t>harga placeholder, wajib diisi harga sebenarnya</t>
  </si>
  <si>
    <t>TENAGA KERJA &amp; OVERHEAD PRODUKSI</t>
  </si>
  <si>
    <t>Jam produksi: 04.00 - 08.00 (4 jam). Buka tiap hari kecuali Senin -&gt; 26 hari kerja/bulan.</t>
  </si>
  <si>
    <t>A. BIAYA PRODUKSI - MASUK HPP</t>
  </si>
  <si>
    <t>Komponen</t>
  </si>
  <si>
    <t>Keterangan</t>
  </si>
  <si>
    <t>Baker - Kak Mei</t>
  </si>
  <si>
    <t>Upah harian, shift 4 jam (04.00-08.00)</t>
  </si>
  <si>
    <t>per hari</t>
  </si>
  <si>
    <t>Baker - Mama Farel</t>
  </si>
  <si>
    <t>Gas melon 3kg</t>
  </si>
  <si>
    <t>Rp20.000/tabung, habis untuk 3 hari produksi -&gt; 20.000/3</t>
  </si>
  <si>
    <t>Lembur (opsional, isi jumlah jam jika ada)</t>
  </si>
  <si>
    <t>Total Biaya Produksi per Hari</t>
  </si>
  <si>
    <t>Estimasi Produksi per Hari (blended)</t>
  </si>
  <si>
    <t>Biaya Tenaga Kerja + Gas per Pcs</t>
  </si>
  <si>
    <t>Depresiasi Alat per Pcs</t>
  </si>
  <si>
    <t>Listrik per Pcs</t>
  </si>
  <si>
    <t>TOTAL OVERHEAD PRODUKSI PER PCS (masuk HPP)</t>
  </si>
  <si>
    <t>B. BIAYA OPERASIONAL / JUALAN - DI LUAR HPP (untuk pertimbangan harga jual)</t>
  </si>
  <si>
    <t>Farel</t>
  </si>
  <si>
    <t>Jaga toko/jualan</t>
  </si>
  <si>
    <t>per bulan</t>
  </si>
  <si>
    <t>Nanda</t>
  </si>
  <si>
    <t>Owner</t>
  </si>
  <si>
    <t>Jaga toko, kadang baker juga</t>
  </si>
  <si>
    <t>Subtotal Gaji Staf per Bulan</t>
  </si>
  <si>
    <t>Bensin Motor (ambil ready stok di rumah + antar jualan ke tempat, 2 kloter tetap/hari)</t>
  </si>
  <si>
    <t>Jarak tempuh pp per kloter (km)</t>
  </si>
  <si>
    <t>Jumlah kloter per hari</t>
  </si>
  <si>
    <t>Konsumsi bensin realistis - jarak pendek/macet (km/liter)</t>
  </si>
  <si>
    <t>Harga bensin per liter (Pertalite)</t>
  </si>
  <si>
    <t>Biaya Bensin per Hari</t>
  </si>
  <si>
    <t>Hari kerja per bulan</t>
  </si>
  <si>
    <t>Biaya Bensin per Bulan</t>
  </si>
  <si>
    <t>Total Biaya Operasional per Bulan (Gaji Staf + Bensin)</t>
  </si>
  <si>
    <t>Estimasi Produksi per Hari (blended, sama dgn Bagian A)</t>
  </si>
  <si>
    <t>Gaji Staf per Pcs</t>
  </si>
  <si>
    <t>Bensin Motor per Pcs</t>
  </si>
  <si>
    <t>TOTAL OPEX JUALAN PER PCS (di luar HPP)</t>
  </si>
  <si>
    <t>Catatan: baris B tidak ditambahkan ke HPP karena ini biaya penjualan/distribusi, bukan biaya produksi. Bensin beli-bahan (variable, gantian motor) belum dimasukkan karena frekuensinya tidak tetap.</t>
  </si>
  <si>
    <t>C. DETAIL DEPRESIASI ALAT / PROVISI PENGGANTIAN (pendukung baris D14)</t>
  </si>
  <si>
    <t>Alat</t>
  </si>
  <si>
    <t>Harga Beli/Pasar (Rp)</t>
  </si>
  <si>
    <t>Umur Ekonomis (thn)</t>
  </si>
  <si>
    <t>Alokasi Usaha (%)</t>
  </si>
  <si>
    <t>Depresiasi/Tahun (Rp)</t>
  </si>
  <si>
    <t>Oven Deck Crown + kaki</t>
  </si>
  <si>
    <t>Mixer (bekas, kondisi seperti baru)</t>
  </si>
  <si>
    <t>Loyang (25pcs x Rp22.000)</t>
  </si>
  <si>
    <t>Proofer</t>
  </si>
  <si>
    <t>Magic com (pemanas, pola ganti tiap 5th)</t>
  </si>
  <si>
    <t>Kompor (dipakai juga masak sehari-hari - alokasi usaha)</t>
  </si>
  <si>
    <t>Wajan teflon 25cm (estimasi harga pasar, lupa harga asli)</t>
  </si>
  <si>
    <t>Kulkas 1 pintu (dikasih orang - pakai estimasi harga pasar utk provisi ganti)</t>
  </si>
  <si>
    <t>Peralatan kecil (sodet, spatula, timbangan, dll - flat, tidak dirinci per item)</t>
  </si>
  <si>
    <t>-</t>
  </si>
  <si>
    <t>TOTAL Depresiasi/Provisi per Tahun</t>
  </si>
  <si>
    <t>Hari kerja per tahun</t>
  </si>
  <si>
    <t>Depresiasi per Hari</t>
  </si>
  <si>
    <t>Depresiasi per Pcs</t>
  </si>
  <si>
    <t>D. DETAIL LISTRIK (pendukung baris D15)</t>
  </si>
  <si>
    <t>Daya listrik terpasang (watt)</t>
  </si>
  <si>
    <t>Tagihan listrik total per bulan (rumah + produksi jadi satu)</t>
  </si>
  <si>
    <t>Estimasi alokasi untuk produksi (%) - asumsi kasar, sesuaikan jika ada data watt &amp; jam pakai lebih akurat</t>
  </si>
  <si>
    <t>Listrik untuk Produksi per Bulan</t>
  </si>
  <si>
    <t>Listrik per Hari</t>
  </si>
  <si>
    <t>E. KAPASITAS PRODUKSI WEEKDAY vs WEEKEND (pendukung baris D69/D70 di Bagian A)</t>
  </si>
  <si>
    <t>Hari buka per minggu (Selasa-Minggu)</t>
  </si>
  <si>
    <t>Hari Weekday per minggu (Selasa-Jumat)</t>
  </si>
  <si>
    <t>Hari Weekend per minggu (Sabtu-Minggu)</t>
  </si>
  <si>
    <t>Kapasitas Produksi Weekday (pcs/hari)</t>
  </si>
  <si>
    <t>Kapasitas Produksi Weekend (pcs/hari) - target konsisten ke depan, sesuaikan lagi kalau kondisi berubah</t>
  </si>
  <si>
    <t>Hari kerja per bulan (total, 6 hari/minggu x 4.33)</t>
  </si>
  <si>
    <t>Hari Weekday per bulan</t>
  </si>
  <si>
    <t>Hari Weekend per bulan</t>
  </si>
  <si>
    <t>Total Produksi per Bulan (pcs)</t>
  </si>
  <si>
    <t>G. CARA HITUNG KAPASITAS BLENDED (dipakai di HPP satu-kolom Bagian A &amp; B)</t>
  </si>
  <si>
    <t>Kapasitas Weekday (pcs/hari) - INPUT, ubah di sini kalau mau upgrade</t>
  </si>
  <si>
    <t>Kapasitas Weekend (pcs/hari) - INPUT, ubah di sini kalau mau upgrade</t>
  </si>
  <si>
    <t>Total Produksi per Bulan = (Weekday x Hari Weekday) + (Weekend x Hari Weekend)</t>
  </si>
  <si>
    <t>Total Hari Kerja per Bulan</t>
  </si>
  <si>
    <t>KAPASITAS BLENDED per Hari = Total Produksi per Bulan / Total Hari Kerja</t>
  </si>
  <si>
    <t>Catatan: Angka blended ini BUKAN target produksi harian - kapasitas riil tetap 48 (weekday) &amp; 96 (weekend), lihat Bagian E. Angka blended cuma dipakai buat dapetin 1 HPP rata-rata yang tetap akurat secara total bulanan. Kalau kapasitas Weekday/Weekend di atas diubah, angka ini dan semua HPP di sheet lain otomatis ikut nyesuain.</t>
  </si>
  <si>
    <t>HPP GABUNGAN - TERMASUK BIAYA OPERASIONAL/JUALAN</t>
  </si>
  <si>
    <t>Sheet ini = HPP murni (dari sheet 'Resep &amp; HPP') + gaji Farel/Nanda/Owner (dari 'Tenaga Kerja &amp; Overhead'). Dipakai kalau mau lihat total biaya per pcs termasuk semua orang yang digaji, bukan cuma produksi.</t>
  </si>
  <si>
    <t>HPP Murni (Bahan+TK+Gas)</t>
  </si>
  <si>
    <t>Biaya Operasional/Jualan</t>
  </si>
  <si>
    <t>HPP Gabungan (Full Cost)</t>
  </si>
  <si>
    <t>MARGIN PROFIT &amp; SIMULASI BAGI HASIL</t>
  </si>
  <si>
    <t>Isi kolom kuning (Harga Jual, Qty Terjual Weekday &amp; Weekend) sesuai kondisi asli. Semua hitungan lain otomatis.</t>
  </si>
  <si>
    <t>A. MARGIN PER PCS</t>
  </si>
  <si>
    <t>HPP Full Cost</t>
  </si>
  <si>
    <t>Harga Jual (isi manual)</t>
  </si>
  <si>
    <t>Margin per Pcs</t>
  </si>
  <si>
    <t>Margin %</t>
  </si>
  <si>
    <t>Qty Terjual Weekday/Hari (isi manual)</t>
  </si>
  <si>
    <t>Qty Terjual Weekend/Hari (isi manual)</t>
  </si>
  <si>
    <t>TOTAL (cek vs kapasitas produksi Weekday &amp; Weekend)</t>
  </si>
  <si>
    <t>B. TOTAL PROFIT BULANAN (26 hari kerja/bulan)</t>
  </si>
  <si>
    <t>Qty/Hari (rata-rata, info)</t>
  </si>
  <si>
    <t>Qty/Bulan</t>
  </si>
  <si>
    <t>Omzet/Bulan</t>
  </si>
  <si>
    <t>Profit/Bulan</t>
  </si>
  <si>
    <t>TOTAL</t>
  </si>
  <si>
    <t>C. SIMULASI BAGI HASIL KE BU DIANA</t>
  </si>
  <si>
    <t>Skema</t>
  </si>
  <si>
    <t>Basis</t>
  </si>
  <si>
    <t>Persen/Nominal</t>
  </si>
  <si>
    <t>Bagian Bu Diana/Bulan</t>
  </si>
  <si>
    <t>Sisa Buat Kamu/Bulan</t>
  </si>
  <si>
    <t>Sisa Buat Kamu %</t>
  </si>
  <si>
    <t>Opsi 1: Flat Sewa</t>
  </si>
  <si>
    <t>Nominal tetap/bulan</t>
  </si>
  <si>
    <t>Opsi 2: % dari Omzet</t>
  </si>
  <si>
    <t>Persentase omzet</t>
  </si>
  <si>
    <t>Opsi 3 (diminta Bu Diana): 30% Profit</t>
  </si>
  <si>
    <t>Persentase profit</t>
  </si>
  <si>
    <t>Catatan: Opsi 1 &amp; 2 nominal/persennya masih placeholder (kuning) - silakan disesuaikan pas nego. Opsi 3 dipakai sebagai pembanding supaya kelihatan selisihnya dengan permintaan awal Bu Diana.</t>
  </si>
  <si>
    <t>D. PENJELASAN &amp; JUSTIFIKASI (bahan diskusi dengan Bu Diana)</t>
  </si>
  <si>
    <t>1. Kenapa basis OMZET, bukan PROFIT?</t>
  </si>
  <si>
    <t>Omzet = harga jual x jumlah terjual, angkanya jelas dan mudah dicek dari nota/catatan penjualan. Profit tergantung banyak komponen biaya (bahan, tenaga kerja, gas, dll) yang bisa berubah-ubah dan rawan jadi bahan perdebatan soal 'biaya mana yang dihitung, mana yang tidak'. Basis Omzet menghindari potensi saling curiga soal laporan biaya ke depannya.</t>
  </si>
  <si>
    <t>2. Kenapa basis Profit dianggap kurang adil di sini?</t>
  </si>
  <si>
    <t>Kalau basis Profit: pemilik tempat ikut menikmati hasil kerja keras &amp; efisiensi usaha (semakin hemat biaya produksi, semakin besar juga bagian yang harus diserahkan), padahal dia tidak ikut menanggung modal maupun risiko rugi. Kalau basis Omzet: bagian pemilik tempat tetap proporsional terhadap besar kecilnya usaha, tapi risiko naik-turun biaya produksi sepenuhnya jadi tanggung jawab &amp; hak pengusaha.</t>
  </si>
  <si>
    <t>3. Kenapa 30% dianggap kegedean?</t>
  </si>
  <si>
    <t>Fasilitas yang benar-benar dipakai cuma lahan kosong (garasi/parkiran depan), tanpa akses dapur maupun listrik dari gedung. Ini setara dengan sewa lahan/space kosong kecil, BUKAN sewa unit usaha lengkap (dapur+listrik+ruang dalam). Sewa lahan kosong kecil di area serupa biasanya jauh di bawah nilai 30% dari keuntungan sebuah usaha F&amp;B yang sedang berkembang.</t>
  </si>
  <si>
    <t>4. Kalau tetap mau persentase, berapa yang wajar?</t>
  </si>
  <si>
    <t>Kalau tetap ingin pakai skema persentase (bukan flat), angka yang lazim dipakai untuk sewa lapak/space kecil pada usaha rumahan/UMKM F&amp;B umumnya berkisar 3-7% dari OMZET (bukan profit) - contoh: 3% untuk space kecil tanpa fasilitas tambahan, naik ke 5-7% kalau ada fasilitas tambahan (listrik, akses dapur, dsb). Di luar rentang itu (misal 10%+ dari omzet, apalagi 30% dari profit) sudah tidak sebanding dengan skala kontribusi tempat yang diberikan.</t>
  </si>
  <si>
    <t>5. Poin penutup</t>
  </si>
  <si>
    <t>Semua skema di atas (flat atau % omzet) tetap menyisakan risiko sepenuhnya pada pengusaha - kalau bahan baku naik atau penjualan sepi, pengusaha yang menanggung, bukan pemilik tempat. Ini alasan tambahan kenapa persentase yang diminta sebaiknya tidak setinggi porsi profit-sharing partner modal.</t>
  </si>
  <si>
    <t>6. KLARIFIKASI ISTILAH: LABA USAHA vs LABA BERSIH</t>
  </si>
  <si>
    <t>Angka 'Profit' di sheet ini (bagian B &amp; C) dihitung dari Omzet dikurangi HPP Full Cost (bahan baku + tenaga kerja produksi + gas + gaji staf jualan + bensin). Ini tepatnya adalah LABA USAHA SEBELUM SEWA, bukan Laba Bersih (Net Profit) dalam arti penuh - karena belum dikurangi sewa tempat itu sendiri, penyusutan alat, listrik, dan biaya administrasi lain. Sengaja sewa tidak dikurangi dulu karena angka sewa itu sendiri yang sedang dicari lewat simulasi ini (kalau sewa ikut dikurangi duluan, perhitungannya jadi muter/sirkular). Istilah 'Laba Usaha (sebelum sewa)' ini yang sebaiknya dipakai saat presentasi, bukan 'Laba Bersih', supaya tidak menimbulkan kesalahpahaman soal definisi.</t>
  </si>
  <si>
    <t>Keterangan warna:</t>
  </si>
  <si>
    <t>kolom yang boleh/harus diisi manual (input)</t>
  </si>
  <si>
    <t>Merah pastel</t>
  </si>
  <si>
    <t>baris varian Adonan Bungasari</t>
  </si>
  <si>
    <t>Hijau pastel</t>
  </si>
  <si>
    <t>baris varian Adonan Natural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</si>
</sst>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x14ac:knownFonts="1">
    <font>
      <sz val="11"/>
      <color theme="1"/>
      <name val="Calibri"/>
      <family val="2"/>
      <charset val="1"/>
    </font>
    <font>
      <b/>
      <sz val="14"/>
      <color rgb="FFFFFFFF"/>
      <name val="Arial"/>
      <family val="2"/>
      <charset val="1"/>
    </font>
    <font>
      <b/>
      <sz val="10"/>
      <color rgb="FFFFFFFF"/>
      <name val="Arial"/>
      <family val="2"/>
      <charset val="1"/>
    </font>
    <font>
      <sz val="10"/>
      <name val="Arial"/>
      <family val="2"/>
      <charset val="1"/>
    </font>
    <font>
      <b/>
      <sz val="10"/>
      <name val="Arial"/>
      <family val="2"/>
      <charset val="1"/>
    </font>
    <font>
      <i/>
      <sz val="9"/>
      <color rgb="FF808080"/>
      <name val="Arial"/>
      <family val="2"/>
      <charset val="1"/>
    </font>
    <font>
      <b/>
      <sz val="11"/>
      <color rgb="FF1F4E78"/>
      <name val="Arial"/>
      <family val="2"/>
      <charset val="1"/>
    </font>
    <font>
      <i/>
      <sz val="10"/>
      <color rgb="FF999999"/>
      <name val="Arial"/>
      <family val="2"/>
      <charset val="1"/>
    </font>
    <font>
      <b/>
      <i/>
      <sz val="9"/>
      <color rgb="FF1F4E78"/>
      <name val="Arial"/>
      <family val="2"/>
      <charset val="1"/>
    </font>
    <font>
      <b/>
      <sz val="11"/>
      <name val="Calibri"/>
      <family val="2"/>
      <charset val="1"/>
    </font>
    <font>
      <b/>
      <i/>
      <sz val="9"/>
      <color rgb="FF1F4E78"/>
      <name val="Arial"/>
      <family val="2"/>
    </font>
    <font>
      <i/>
      <sz val="9"/>
      <name val="Arial"/>
      <family val="2"/>
    </font>
  </fonts>
  <fills count="13">
    <fill>
      <patternFill patternType="none"/>
    </fill>
    <fill>
      <patternFill patternType="gray125"/>
    </fill>
    <fill>
      <patternFill patternType="solid">
        <fgColor rgb="FF4472C4"/>
        <bgColor rgb="FF666699"/>
      </patternFill>
    </fill>
    <fill>
      <patternFill patternType="solid">
        <fgColor rgb="FF5B9BD5"/>
        <bgColor rgb="FF4472C4"/>
      </patternFill>
    </fill>
    <fill>
      <patternFill patternType="solid">
        <fgColor rgb="FFFFFF00"/>
        <bgColor rgb="FFFFFF00"/>
      </patternFill>
    </fill>
    <fill>
      <patternFill patternType="solid">
        <fgColor rgb="FFD9E2F3"/>
        <bgColor rgb="FFE2EFDA"/>
      </patternFill>
    </fill>
    <fill>
      <patternFill patternType="solid">
        <fgColor rgb="FFFCE4D6"/>
        <bgColor rgb="FFFDE9D9"/>
      </patternFill>
    </fill>
    <fill>
      <patternFill patternType="solid">
        <fgColor rgb="FFE2EFDA"/>
        <bgColor rgb="FFD9E2F3"/>
      </patternFill>
    </fill>
    <fill>
      <patternFill patternType="solid">
        <fgColor rgb="FFFDE9D9"/>
        <bgColor rgb="FFFCE4D6"/>
      </patternFill>
    </fill>
    <fill>
      <patternFill patternType="solid">
        <fgColor rgb="FF1F4E78"/>
        <bgColor rgb="FF003366"/>
      </patternFill>
    </fill>
    <fill>
      <patternFill patternType="solid">
        <fgColor rgb="FFF4CCCC"/>
        <bgColor rgb="FFF4CCCC"/>
      </patternFill>
    </fill>
    <fill>
      <patternFill patternType="solid">
        <fgColor rgb="FFD9EAD3"/>
        <bgColor rgb="FFD9EAD3"/>
      </patternFill>
    </fill>
    <fill>
      <patternFill patternType="solid">
        <fgColor theme="6" tint="0.79998168889431442"/>
        <bgColor indexed="64"/>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87">
    <xf numFmtId="0" fontId="0" fillId="0" borderId="0" xfId="0" applyAlignment="1"/>
    <xf numFmtId="0" fontId="0" fillId="0" borderId="0" xfId="0" applyAlignment="1"/>
    <xf numFmtId="0" fontId="2" fillId="3" borderId="1" xfId="0" applyFont="1" applyFill="1" applyBorder="1" applyAlignment="1">
      <alignment horizontal="center" vertical="center" wrapText="1"/>
    </xf>
    <xf numFmtId="0" fontId="3" fillId="0" borderId="1" xfId="0" applyFont="1" applyBorder="1" applyAlignment="1">
      <alignment horizontal="center"/>
    </xf>
    <xf numFmtId="0" fontId="3" fillId="0" borderId="1" xfId="0" applyFont="1" applyBorder="1" applyAlignment="1">
      <alignment horizontal="left"/>
    </xf>
    <xf numFmtId="3" fontId="3" fillId="0" borderId="1" xfId="0" applyNumberFormat="1" applyFont="1" applyBorder="1" applyAlignment="1">
      <alignment horizontal="center"/>
    </xf>
    <xf numFmtId="4" fontId="3" fillId="0" borderId="1" xfId="0" applyNumberFormat="1" applyFont="1" applyBorder="1" applyAlignment="1">
      <alignment horizontal="center"/>
    </xf>
    <xf numFmtId="0" fontId="4" fillId="0" borderId="0" xfId="0" applyFont="1" applyAlignment="1"/>
    <xf numFmtId="0" fontId="0" fillId="4" borderId="0" xfId="0" applyFill="1" applyAlignment="1"/>
    <xf numFmtId="0" fontId="3" fillId="0" borderId="0" xfId="0" applyFont="1" applyAlignment="1"/>
    <xf numFmtId="0" fontId="5" fillId="0" borderId="0" xfId="0" applyFont="1" applyAlignment="1"/>
    <xf numFmtId="0" fontId="6" fillId="5" borderId="1" xfId="0" applyFont="1" applyFill="1" applyBorder="1" applyAlignment="1">
      <alignment horizontal="left" vertical="center"/>
    </xf>
    <xf numFmtId="0" fontId="3" fillId="6" borderId="1" xfId="0" applyFont="1" applyFill="1" applyBorder="1" applyAlignment="1">
      <alignment horizontal="center"/>
    </xf>
    <xf numFmtId="0" fontId="4" fillId="7" borderId="1" xfId="0" applyFont="1" applyFill="1" applyBorder="1" applyAlignment="1"/>
    <xf numFmtId="3" fontId="4" fillId="7" borderId="1" xfId="0" applyNumberFormat="1" applyFont="1" applyFill="1" applyBorder="1" applyAlignment="1"/>
    <xf numFmtId="0" fontId="2" fillId="3" borderId="0" xfId="0" applyFont="1" applyFill="1" applyAlignment="1"/>
    <xf numFmtId="3" fontId="0" fillId="0" borderId="1" xfId="0" applyNumberFormat="1" applyBorder="1" applyAlignment="1">
      <alignment horizontal="center"/>
    </xf>
    <xf numFmtId="3" fontId="4" fillId="7" borderId="1" xfId="0" applyNumberFormat="1" applyFont="1" applyFill="1" applyBorder="1" applyAlignment="1">
      <alignment horizontal="center"/>
    </xf>
    <xf numFmtId="0" fontId="0" fillId="6" borderId="0" xfId="0" applyFill="1" applyAlignment="1"/>
    <xf numFmtId="0" fontId="3" fillId="0" borderId="1" xfId="0" applyFont="1" applyBorder="1" applyAlignment="1"/>
    <xf numFmtId="0" fontId="0" fillId="4" borderId="1" xfId="0" applyFill="1" applyBorder="1" applyAlignment="1"/>
    <xf numFmtId="3" fontId="0" fillId="0" borderId="1" xfId="0" applyNumberFormat="1" applyBorder="1" applyAlignment="1"/>
    <xf numFmtId="0" fontId="2" fillId="0" borderId="0" xfId="0" applyFont="1" applyAlignment="1"/>
    <xf numFmtId="3" fontId="2" fillId="0" borderId="0" xfId="0" applyNumberFormat="1" applyFont="1" applyAlignment="1"/>
    <xf numFmtId="3" fontId="0" fillId="0" borderId="0" xfId="0" applyNumberFormat="1" applyAlignment="1"/>
    <xf numFmtId="3" fontId="7" fillId="0" borderId="1" xfId="0" applyNumberFormat="1" applyFont="1" applyBorder="1" applyAlignment="1"/>
    <xf numFmtId="3" fontId="7" fillId="0" borderId="0" xfId="0" applyNumberFormat="1" applyFont="1" applyAlignment="1"/>
    <xf numFmtId="3" fontId="4" fillId="0" borderId="0" xfId="0" applyNumberFormat="1" applyFont="1" applyAlignment="1"/>
    <xf numFmtId="0" fontId="4" fillId="7" borderId="0" xfId="0" applyFont="1" applyFill="1" applyAlignment="1"/>
    <xf numFmtId="0" fontId="3" fillId="8" borderId="1" xfId="0" applyFont="1" applyFill="1" applyBorder="1" applyAlignment="1"/>
    <xf numFmtId="3" fontId="4" fillId="7" borderId="0" xfId="0" applyNumberFormat="1" applyFont="1" applyFill="1" applyAlignment="1"/>
    <xf numFmtId="0" fontId="4" fillId="7" borderId="0" xfId="0" applyFont="1" applyFill="1" applyAlignment="1">
      <alignment vertical="top" wrapText="1"/>
    </xf>
    <xf numFmtId="0" fontId="5" fillId="0" borderId="0" xfId="0" applyFont="1" applyAlignment="1">
      <alignment vertical="top" wrapText="1"/>
    </xf>
    <xf numFmtId="0" fontId="6" fillId="5" borderId="0" xfId="0" applyFont="1" applyFill="1" applyAlignment="1"/>
    <xf numFmtId="0" fontId="2" fillId="9" borderId="0" xfId="0" applyFont="1" applyFill="1" applyAlignment="1"/>
    <xf numFmtId="3" fontId="3" fillId="0" borderId="0" xfId="0" applyNumberFormat="1" applyFont="1" applyAlignment="1"/>
    <xf numFmtId="3" fontId="0" fillId="4" borderId="1" xfId="0" applyNumberFormat="1" applyFill="1" applyBorder="1" applyAlignment="1">
      <alignment horizontal="center"/>
    </xf>
    <xf numFmtId="165" fontId="0" fillId="0" borderId="1" xfId="0" applyNumberFormat="1" applyBorder="1" applyAlignment="1">
      <alignment horizontal="center"/>
    </xf>
    <xf numFmtId="165" fontId="0" fillId="0" borderId="0" xfId="0" applyNumberFormat="1" applyAlignment="1"/>
    <xf numFmtId="0" fontId="8" fillId="0" borderId="0" xfId="0" applyFont="1" applyAlignment="1"/>
    <xf numFmtId="3" fontId="9" fillId="0" borderId="0" xfId="0" applyNumberFormat="1" applyFont="1" applyAlignment="1">
      <alignment horizontal="center"/>
    </xf>
    <xf numFmtId="0" fontId="2" fillId="0" borderId="1" xfId="0" applyFont="1" applyBorder="1" applyAlignment="1">
      <alignment horizontal="center" vertical="center" wrapText="1"/>
    </xf>
    <xf numFmtId="165" fontId="0" fillId="4" borderId="1" xfId="0" applyNumberFormat="1" applyFill="1" applyBorder="1" applyAlignment="1">
      <alignment horizontal="center"/>
    </xf>
    <xf numFmtId="0" fontId="3" fillId="6" borderId="1" xfId="0" applyFont="1" applyFill="1" applyBorder="1" applyAlignment="1">
      <alignment horizontal="left"/>
    </xf>
    <xf numFmtId="165" fontId="0" fillId="6" borderId="1" xfId="0" applyNumberFormat="1" applyFill="1" applyBorder="1" applyAlignment="1">
      <alignment horizontal="center"/>
    </xf>
    <xf numFmtId="3" fontId="0" fillId="6" borderId="1" xfId="0" applyNumberFormat="1" applyFill="1" applyBorder="1" applyAlignment="1">
      <alignment horizontal="center"/>
    </xf>
    <xf numFmtId="3" fontId="3" fillId="4" borderId="1" xfId="0" applyNumberFormat="1" applyFont="1" applyFill="1" applyBorder="1" applyAlignment="1">
      <alignment horizontal="center"/>
    </xf>
    <xf numFmtId="0" fontId="3" fillId="4" borderId="1" xfId="0" applyFont="1" applyFill="1" applyBorder="1" applyAlignment="1">
      <alignment horizontal="center"/>
    </xf>
    <xf numFmtId="1" fontId="0" fillId="4" borderId="0" xfId="0" applyNumberFormat="1" applyFill="1" applyAlignment="1"/>
    <xf numFmtId="3" fontId="0" fillId="4" borderId="0" xfId="0" applyNumberFormat="1" applyFill="1" applyAlignment="1"/>
    <xf numFmtId="3" fontId="3" fillId="4" borderId="1" xfId="0" applyNumberFormat="1" applyFont="1" applyFill="1" applyBorder="1" applyAlignment="1"/>
    <xf numFmtId="164" fontId="4" fillId="4" borderId="1" xfId="0" applyNumberFormat="1" applyFont="1" applyFill="1" applyBorder="1" applyAlignment="1"/>
    <xf numFmtId="164" fontId="0" fillId="4" borderId="0" xfId="0" applyNumberFormat="1" applyFill="1" applyAlignment="1"/>
    <xf numFmtId="0" fontId="3" fillId="4" borderId="0" xfId="0" applyFont="1" applyFill="1" applyAlignment="1"/>
    <xf numFmtId="9" fontId="0" fillId="4" borderId="0" xfId="0" applyNumberFormat="1" applyFill="1" applyAlignment="1"/>
    <xf numFmtId="0" fontId="3" fillId="10" borderId="1" xfId="0" applyFont="1" applyFill="1" applyBorder="1" applyAlignment="1">
      <alignment horizontal="left"/>
    </xf>
    <xf numFmtId="3" fontId="0" fillId="10" borderId="1" xfId="0" applyNumberFormat="1" applyFill="1" applyBorder="1" applyAlignment="1">
      <alignment horizontal="center"/>
    </xf>
    <xf numFmtId="165" fontId="0" fillId="10" borderId="1" xfId="0" applyNumberFormat="1" applyFill="1" applyBorder="1" applyAlignment="1">
      <alignment horizontal="center"/>
    </xf>
    <xf numFmtId="0" fontId="3" fillId="11" borderId="1" xfId="0" applyFont="1" applyFill="1" applyBorder="1" applyAlignment="1">
      <alignment horizontal="left"/>
    </xf>
    <xf numFmtId="3" fontId="0" fillId="11" borderId="1" xfId="0" applyNumberFormat="1" applyFill="1" applyBorder="1" applyAlignment="1">
      <alignment horizontal="center"/>
    </xf>
    <xf numFmtId="165" fontId="0" fillId="11" borderId="1" xfId="0" applyNumberFormat="1" applyFill="1" applyBorder="1" applyAlignment="1">
      <alignment horizontal="center"/>
    </xf>
    <xf numFmtId="1" fontId="0" fillId="10" borderId="1" xfId="0" applyNumberFormat="1" applyFill="1" applyBorder="1" applyAlignment="1">
      <alignment horizontal="center"/>
    </xf>
    <xf numFmtId="1" fontId="0" fillId="11" borderId="1" xfId="0" applyNumberFormat="1" applyFill="1" applyBorder="1" applyAlignment="1">
      <alignment horizontal="center"/>
    </xf>
    <xf numFmtId="0" fontId="10" fillId="0" borderId="0" xfId="0" applyFont="1"/>
    <xf numFmtId="0" fontId="0" fillId="4" borderId="0" xfId="0" applyFill="1"/>
    <xf numFmtId="0" fontId="11" fillId="0" borderId="0" xfId="0" applyFont="1"/>
    <xf numFmtId="0" fontId="0" fillId="10" borderId="0" xfId="0" applyFill="1"/>
    <xf numFmtId="0" fontId="0" fillId="11" borderId="0" xfId="0" applyFill="1"/>
    <xf numFmtId="0" fontId="1" fillId="2" borderId="0" xfId="0" applyFont="1" applyFill="1" applyAlignment="1">
      <alignment horizontal="center" vertical="center"/>
    </xf>
    <xf numFmtId="0" fontId="0" fillId="0" borderId="0" xfId="0" applyAlignment="1"/>
    <xf numFmtId="0" fontId="6" fillId="5" borderId="1" xfId="0" applyFont="1" applyFill="1" applyBorder="1" applyAlignment="1">
      <alignment horizontal="left" vertical="center"/>
    </xf>
    <xf numFmtId="0" fontId="0" fillId="0" borderId="2" xfId="0" applyBorder="1"/>
    <xf numFmtId="0" fontId="0" fillId="0" borderId="3" xfId="0" applyBorder="1"/>
    <xf numFmtId="0" fontId="4" fillId="7" borderId="1" xfId="0" applyFont="1" applyFill="1" applyBorder="1" applyAlignment="1"/>
    <xf numFmtId="0" fontId="0" fillId="7" borderId="1" xfId="0" applyFill="1" applyBorder="1" applyAlignment="1"/>
    <xf numFmtId="0" fontId="5" fillId="0" borderId="0" xfId="0" applyFont="1" applyAlignment="1"/>
    <xf numFmtId="0" fontId="6" fillId="11" borderId="1" xfId="0" applyFont="1" applyFill="1" applyBorder="1" applyAlignment="1">
      <alignment horizontal="left" vertical="center"/>
    </xf>
    <xf numFmtId="0" fontId="6" fillId="10" borderId="1" xfId="0" applyFont="1" applyFill="1" applyBorder="1" applyAlignment="1">
      <alignment horizontal="left" vertical="center"/>
    </xf>
    <xf numFmtId="0" fontId="6" fillId="5" borderId="0" xfId="0" applyFont="1" applyFill="1" applyAlignment="1"/>
    <xf numFmtId="0" fontId="4" fillId="7" borderId="0" xfId="0" applyFont="1" applyFill="1" applyAlignment="1"/>
    <xf numFmtId="0" fontId="3" fillId="0" borderId="1" xfId="0" applyFont="1" applyBorder="1" applyAlignment="1"/>
    <xf numFmtId="0" fontId="5" fillId="0" borderId="0" xfId="0" applyFont="1" applyAlignment="1">
      <alignment vertical="top" wrapText="1"/>
    </xf>
    <xf numFmtId="0" fontId="3" fillId="0" borderId="0" xfId="0" applyFont="1" applyAlignment="1">
      <alignment vertical="top" wrapText="1"/>
    </xf>
    <xf numFmtId="0" fontId="0" fillId="0" borderId="0" xfId="0" applyAlignment="1">
      <alignment vertical="top" wrapText="1"/>
    </xf>
    <xf numFmtId="0" fontId="4" fillId="0" borderId="0" xfId="0" applyFont="1" applyAlignment="1"/>
    <xf numFmtId="0" fontId="6" fillId="0" borderId="1" xfId="0" applyFont="1" applyBorder="1" applyAlignment="1">
      <alignment horizontal="left" vertical="center"/>
    </xf>
    <xf numFmtId="0" fontId="0" fillId="12" borderId="1" xfId="0" applyFill="1" applyBorder="1" applyAlignment="1"/>
  </cellXfs>
  <cellStyles count="1">
    <cellStyle name="Normal" xfId="0" builtinId="0"/>
  </cellStyles>
  <dxfs count="4">
    <dxf>
      <fill>
        <patternFill patternType="solid">
          <fgColor rgb="FFFFC7CE"/>
          <bgColor rgb="FFFFC7CE"/>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5B9BD5"/>
      <rgbColor rgb="FF993366"/>
      <rgbColor rgb="FFFDE9D9"/>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4472C4"/>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zoomScaleNormal="100" workbookViewId="0">
      <pane ySplit="3" topLeftCell="A4" activePane="bottomLeft" state="frozen"/>
      <selection pane="bottomLeft" sqref="A1:F1"/>
    </sheetView>
  </sheetViews>
  <sheetFormatPr defaultColWidth="8.6640625" defaultRowHeight="14.4" x14ac:dyDescent="0.3"/>
  <cols>
    <col min="1" max="1" width="5" style="1" customWidth="1"/>
    <col min="2" max="2" width="34" style="1" customWidth="1"/>
    <col min="3" max="3" width="16" style="1" customWidth="1"/>
    <col min="4" max="4" width="12" style="1" customWidth="1"/>
    <col min="5" max="5" width="10" style="1" customWidth="1"/>
    <col min="6" max="6" width="20" style="1" customWidth="1"/>
  </cols>
  <sheetData>
    <row r="1" spans="1:6" ht="24" customHeight="1" x14ac:dyDescent="0.3">
      <c r="A1" s="68" t="s">
        <v>0</v>
      </c>
      <c r="B1" s="69"/>
      <c r="C1" s="69"/>
      <c r="D1" s="69"/>
      <c r="E1" s="69"/>
      <c r="F1" s="69"/>
    </row>
    <row r="3" spans="1:6" ht="15" customHeight="1" x14ac:dyDescent="0.3">
      <c r="A3" s="2" t="s">
        <v>1</v>
      </c>
      <c r="B3" s="2" t="s">
        <v>2</v>
      </c>
      <c r="C3" s="2" t="s">
        <v>3</v>
      </c>
      <c r="D3" s="2" t="s">
        <v>4</v>
      </c>
      <c r="E3" s="2" t="s">
        <v>5</v>
      </c>
      <c r="F3" s="2" t="s">
        <v>6</v>
      </c>
    </row>
    <row r="4" spans="1:6" ht="15" customHeight="1" x14ac:dyDescent="0.3">
      <c r="A4" s="3">
        <v>1</v>
      </c>
      <c r="B4" s="4" t="s">
        <v>7</v>
      </c>
      <c r="C4" s="46">
        <v>15000</v>
      </c>
      <c r="D4" s="47">
        <v>1000</v>
      </c>
      <c r="E4" s="3" t="s">
        <v>8</v>
      </c>
      <c r="F4" s="6">
        <f t="shared" ref="F4:F22" si="0">C4/D4</f>
        <v>15</v>
      </c>
    </row>
    <row r="5" spans="1:6" ht="15" customHeight="1" x14ac:dyDescent="0.3">
      <c r="A5" s="3">
        <v>2</v>
      </c>
      <c r="B5" s="4" t="s">
        <v>9</v>
      </c>
      <c r="C5" s="46">
        <v>99000</v>
      </c>
      <c r="D5" s="47">
        <v>2500</v>
      </c>
      <c r="E5" s="3" t="s">
        <v>8</v>
      </c>
      <c r="F5" s="6">
        <f t="shared" si="0"/>
        <v>39.6</v>
      </c>
    </row>
    <row r="6" spans="1:6" ht="15" customHeight="1" x14ac:dyDescent="0.3">
      <c r="A6" s="3">
        <v>3</v>
      </c>
      <c r="B6" s="4" t="s">
        <v>10</v>
      </c>
      <c r="C6" s="46">
        <v>47500</v>
      </c>
      <c r="D6" s="47">
        <v>1000</v>
      </c>
      <c r="E6" s="3" t="s">
        <v>8</v>
      </c>
      <c r="F6" s="6">
        <f t="shared" si="0"/>
        <v>47.5</v>
      </c>
    </row>
    <row r="7" spans="1:6" ht="15" customHeight="1" x14ac:dyDescent="0.3">
      <c r="A7" s="3">
        <v>4</v>
      </c>
      <c r="B7" s="4" t="s">
        <v>11</v>
      </c>
      <c r="C7" s="46">
        <v>105000</v>
      </c>
      <c r="D7" s="47">
        <v>5000</v>
      </c>
      <c r="E7" s="3" t="s">
        <v>8</v>
      </c>
      <c r="F7" s="6">
        <f t="shared" si="0"/>
        <v>21</v>
      </c>
    </row>
    <row r="8" spans="1:6" ht="15" customHeight="1" x14ac:dyDescent="0.3">
      <c r="A8" s="3">
        <v>5</v>
      </c>
      <c r="B8" s="4" t="s">
        <v>12</v>
      </c>
      <c r="C8" s="46">
        <v>53500</v>
      </c>
      <c r="D8" s="47">
        <v>500</v>
      </c>
      <c r="E8" s="3" t="s">
        <v>8</v>
      </c>
      <c r="F8" s="6">
        <f t="shared" si="0"/>
        <v>107</v>
      </c>
    </row>
    <row r="9" spans="1:6" ht="15" customHeight="1" x14ac:dyDescent="0.3">
      <c r="A9" s="3">
        <v>6</v>
      </c>
      <c r="B9" s="4" t="s">
        <v>13</v>
      </c>
      <c r="C9" s="46">
        <v>18000</v>
      </c>
      <c r="D9" s="47">
        <v>1000</v>
      </c>
      <c r="E9" s="3" t="s">
        <v>8</v>
      </c>
      <c r="F9" s="6">
        <f t="shared" si="0"/>
        <v>18</v>
      </c>
    </row>
    <row r="10" spans="1:6" ht="15" customHeight="1" x14ac:dyDescent="0.3">
      <c r="A10" s="3">
        <v>7</v>
      </c>
      <c r="B10" s="4" t="s">
        <v>14</v>
      </c>
      <c r="C10" s="46">
        <v>30000</v>
      </c>
      <c r="D10" s="47">
        <v>1000</v>
      </c>
      <c r="E10" s="3" t="s">
        <v>8</v>
      </c>
      <c r="F10" s="6">
        <f t="shared" si="0"/>
        <v>30</v>
      </c>
    </row>
    <row r="11" spans="1:6" ht="15" customHeight="1" x14ac:dyDescent="0.3">
      <c r="A11" s="3">
        <v>8</v>
      </c>
      <c r="B11" s="4" t="s">
        <v>15</v>
      </c>
      <c r="C11" s="46">
        <v>35000</v>
      </c>
      <c r="D11" s="47">
        <v>1000</v>
      </c>
      <c r="E11" s="3" t="s">
        <v>8</v>
      </c>
      <c r="F11" s="6">
        <f t="shared" si="0"/>
        <v>35</v>
      </c>
    </row>
    <row r="12" spans="1:6" ht="15" customHeight="1" x14ac:dyDescent="0.3">
      <c r="A12" s="3">
        <v>9</v>
      </c>
      <c r="B12" s="4" t="s">
        <v>16</v>
      </c>
      <c r="C12" s="46">
        <v>3500</v>
      </c>
      <c r="D12" s="47">
        <v>200</v>
      </c>
      <c r="E12" s="3" t="s">
        <v>8</v>
      </c>
      <c r="F12" s="6">
        <f t="shared" si="0"/>
        <v>17.5</v>
      </c>
    </row>
    <row r="13" spans="1:6" ht="15" customHeight="1" x14ac:dyDescent="0.3">
      <c r="A13" s="3">
        <v>10</v>
      </c>
      <c r="B13" s="4" t="s">
        <v>17</v>
      </c>
      <c r="C13" s="46">
        <v>150000</v>
      </c>
      <c r="D13" s="47">
        <v>5000</v>
      </c>
      <c r="E13" s="3" t="s">
        <v>8</v>
      </c>
      <c r="F13" s="6">
        <f t="shared" si="0"/>
        <v>30</v>
      </c>
    </row>
    <row r="14" spans="1:6" ht="15" customHeight="1" x14ac:dyDescent="0.3">
      <c r="A14" s="3">
        <v>11</v>
      </c>
      <c r="B14" s="4" t="s">
        <v>18</v>
      </c>
      <c r="C14" s="46">
        <v>120000</v>
      </c>
      <c r="D14" s="47">
        <v>2000</v>
      </c>
      <c r="E14" s="3" t="s">
        <v>8</v>
      </c>
      <c r="F14" s="6">
        <f t="shared" si="0"/>
        <v>60</v>
      </c>
    </row>
    <row r="15" spans="1:6" ht="15" customHeight="1" x14ac:dyDescent="0.3">
      <c r="A15" s="3">
        <v>12</v>
      </c>
      <c r="B15" s="4" t="s">
        <v>19</v>
      </c>
      <c r="C15" s="46">
        <v>15000</v>
      </c>
      <c r="D15" s="47">
        <v>200</v>
      </c>
      <c r="E15" s="3" t="s">
        <v>8</v>
      </c>
      <c r="F15" s="6">
        <f t="shared" si="0"/>
        <v>75</v>
      </c>
    </row>
    <row r="16" spans="1:6" ht="15" customHeight="1" x14ac:dyDescent="0.3">
      <c r="A16" s="3">
        <v>13</v>
      </c>
      <c r="B16" s="4" t="s">
        <v>20</v>
      </c>
      <c r="C16" s="46">
        <v>31000</v>
      </c>
      <c r="D16" s="47">
        <v>250</v>
      </c>
      <c r="E16" s="3" t="s">
        <v>8</v>
      </c>
      <c r="F16" s="6">
        <f t="shared" si="0"/>
        <v>124</v>
      </c>
    </row>
    <row r="17" spans="1:6" ht="15" customHeight="1" x14ac:dyDescent="0.3">
      <c r="A17" s="3">
        <v>14</v>
      </c>
      <c r="B17" s="4" t="s">
        <v>21</v>
      </c>
      <c r="C17" s="46">
        <v>50000</v>
      </c>
      <c r="D17" s="47">
        <v>1000</v>
      </c>
      <c r="E17" s="3" t="s">
        <v>8</v>
      </c>
      <c r="F17" s="6">
        <f t="shared" si="0"/>
        <v>50</v>
      </c>
    </row>
    <row r="18" spans="1:6" ht="15" customHeight="1" x14ac:dyDescent="0.3">
      <c r="A18" s="3">
        <v>15</v>
      </c>
      <c r="B18" s="4" t="s">
        <v>22</v>
      </c>
      <c r="C18" s="46">
        <v>120000</v>
      </c>
      <c r="D18" s="47">
        <v>1000</v>
      </c>
      <c r="E18" s="3" t="s">
        <v>8</v>
      </c>
      <c r="F18" s="6">
        <f t="shared" si="0"/>
        <v>120</v>
      </c>
    </row>
    <row r="19" spans="1:6" ht="15" customHeight="1" x14ac:dyDescent="0.3">
      <c r="A19" s="3">
        <v>16</v>
      </c>
      <c r="B19" s="4" t="s">
        <v>23</v>
      </c>
      <c r="C19" s="46">
        <v>60000</v>
      </c>
      <c r="D19" s="47">
        <v>50</v>
      </c>
      <c r="E19" s="3" t="s">
        <v>24</v>
      </c>
      <c r="F19" s="6">
        <f t="shared" si="0"/>
        <v>1200</v>
      </c>
    </row>
    <row r="20" spans="1:6" ht="15" customHeight="1" x14ac:dyDescent="0.3">
      <c r="A20" s="3">
        <v>17</v>
      </c>
      <c r="B20" s="4" t="s">
        <v>25</v>
      </c>
      <c r="C20" s="46">
        <v>13000</v>
      </c>
      <c r="D20" s="47">
        <v>50</v>
      </c>
      <c r="E20" s="3" t="s">
        <v>24</v>
      </c>
      <c r="F20" s="6">
        <f t="shared" si="0"/>
        <v>260</v>
      </c>
    </row>
    <row r="21" spans="1:6" ht="15" customHeight="1" x14ac:dyDescent="0.3">
      <c r="A21" s="3">
        <v>18</v>
      </c>
      <c r="B21" s="4" t="s">
        <v>26</v>
      </c>
      <c r="C21" s="46">
        <v>28000</v>
      </c>
      <c r="D21" s="47">
        <v>500</v>
      </c>
      <c r="E21" s="3" t="s">
        <v>8</v>
      </c>
      <c r="F21" s="6">
        <f t="shared" si="0"/>
        <v>56</v>
      </c>
    </row>
    <row r="22" spans="1:6" ht="15" customHeight="1" x14ac:dyDescent="0.3">
      <c r="A22" s="3">
        <v>19</v>
      </c>
      <c r="B22" s="4" t="s">
        <v>27</v>
      </c>
      <c r="C22" s="46">
        <v>15000</v>
      </c>
      <c r="D22" s="47">
        <v>2</v>
      </c>
      <c r="E22" s="3" t="s">
        <v>28</v>
      </c>
      <c r="F22" s="6">
        <f t="shared" si="0"/>
        <v>7500</v>
      </c>
    </row>
    <row r="24" spans="1:6" ht="15" customHeight="1" x14ac:dyDescent="0.3">
      <c r="A24" s="7" t="s">
        <v>29</v>
      </c>
    </row>
    <row r="25" spans="1:6" ht="15" customHeight="1" x14ac:dyDescent="0.3">
      <c r="A25" s="8" t="s">
        <v>30</v>
      </c>
      <c r="B25" s="9" t="s">
        <v>31</v>
      </c>
    </row>
    <row r="26" spans="1:6" ht="14.25" customHeight="1" x14ac:dyDescent="0.3">
      <c r="A26" s="1" t="s">
        <v>32</v>
      </c>
      <c r="B26" s="1" t="s">
        <v>33</v>
      </c>
    </row>
  </sheetData>
  <mergeCells count="1">
    <mergeCell ref="A1:F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6"/>
  <sheetViews>
    <sheetView zoomScaleNormal="100" workbookViewId="0">
      <pane ySplit="3" topLeftCell="A59" activePane="bottomLeft" state="frozen"/>
      <selection pane="bottomLeft"/>
    </sheetView>
  </sheetViews>
  <sheetFormatPr defaultColWidth="8.6640625" defaultRowHeight="14.4" x14ac:dyDescent="0.3"/>
  <cols>
    <col min="1" max="1" width="38" style="1" customWidth="1"/>
    <col min="2" max="2" width="14" style="1" customWidth="1"/>
    <col min="3" max="3" width="12" style="1" customWidth="1"/>
    <col min="4" max="4" width="18" style="1" customWidth="1"/>
    <col min="5" max="5" width="20" style="1" customWidth="1"/>
    <col min="6" max="6" width="16" style="1" customWidth="1"/>
  </cols>
  <sheetData>
    <row r="1" spans="1:5" ht="24" customHeight="1" x14ac:dyDescent="0.3">
      <c r="A1" s="68" t="s">
        <v>34</v>
      </c>
      <c r="B1" s="69"/>
      <c r="C1" s="69"/>
      <c r="D1" s="69"/>
      <c r="E1" s="69"/>
    </row>
    <row r="2" spans="1:5" ht="15" customHeight="1" x14ac:dyDescent="0.3">
      <c r="A2" s="75" t="s">
        <v>35</v>
      </c>
      <c r="B2" s="69"/>
      <c r="C2" s="69"/>
      <c r="D2" s="69"/>
      <c r="E2" s="69"/>
    </row>
    <row r="4" spans="1:5" ht="15" customHeight="1" x14ac:dyDescent="0.3">
      <c r="A4" s="77" t="s">
        <v>36</v>
      </c>
      <c r="B4" s="71"/>
      <c r="C4" s="71"/>
      <c r="D4" s="71"/>
      <c r="E4" s="72"/>
    </row>
    <row r="5" spans="1:5" ht="23.25" customHeight="1" x14ac:dyDescent="0.3">
      <c r="A5" s="2" t="s">
        <v>2</v>
      </c>
      <c r="B5" s="2" t="s">
        <v>37</v>
      </c>
      <c r="C5" s="2" t="s">
        <v>5</v>
      </c>
      <c r="D5" s="2" t="s">
        <v>6</v>
      </c>
      <c r="E5" s="2" t="s">
        <v>38</v>
      </c>
    </row>
    <row r="6" spans="1:5" ht="15" customHeight="1" x14ac:dyDescent="0.3">
      <c r="A6" s="4" t="s">
        <v>9</v>
      </c>
      <c r="B6" s="47">
        <v>300</v>
      </c>
      <c r="C6" s="3" t="s">
        <v>39</v>
      </c>
      <c r="D6" s="6">
        <f>INDEX('Harga Bahan'!$F$4:$F$22,MATCH(A6,'Harga Bahan'!$B$4:$B$22,0))</f>
        <v>39.6</v>
      </c>
      <c r="E6" s="5">
        <f t="shared" ref="E6:E12" si="0">B6*D6</f>
        <v>11880</v>
      </c>
    </row>
    <row r="7" spans="1:5" ht="15" customHeight="1" x14ac:dyDescent="0.3">
      <c r="A7" s="4" t="s">
        <v>7</v>
      </c>
      <c r="B7" s="47">
        <v>1200</v>
      </c>
      <c r="C7" s="3" t="s">
        <v>39</v>
      </c>
      <c r="D7" s="6">
        <f>INDEX('Harga Bahan'!$F$4:$F$22,MATCH(A7,'Harga Bahan'!$B$4:$B$22,0))</f>
        <v>15</v>
      </c>
      <c r="E7" s="5">
        <f t="shared" si="0"/>
        <v>18000</v>
      </c>
    </row>
    <row r="8" spans="1:5" ht="15" customHeight="1" x14ac:dyDescent="0.3">
      <c r="A8" s="4" t="s">
        <v>12</v>
      </c>
      <c r="B8" s="47">
        <v>30</v>
      </c>
      <c r="C8" s="3" t="s">
        <v>39</v>
      </c>
      <c r="D8" s="6">
        <f>INDEX('Harga Bahan'!$F$4:$F$22,MATCH(A8,'Harga Bahan'!$B$4:$B$22,0))</f>
        <v>107</v>
      </c>
      <c r="E8" s="5">
        <f t="shared" si="0"/>
        <v>3210</v>
      </c>
    </row>
    <row r="9" spans="1:5" ht="15" customHeight="1" x14ac:dyDescent="0.3">
      <c r="A9" s="4" t="s">
        <v>13</v>
      </c>
      <c r="B9" s="47">
        <v>200</v>
      </c>
      <c r="C9" s="3" t="s">
        <v>39</v>
      </c>
      <c r="D9" s="6">
        <f>INDEX('Harga Bahan'!$F$4:$F$22,MATCH(A9,'Harga Bahan'!$B$4:$B$22,0))</f>
        <v>18</v>
      </c>
      <c r="E9" s="5">
        <f t="shared" si="0"/>
        <v>3600</v>
      </c>
    </row>
    <row r="10" spans="1:5" ht="15" customHeight="1" x14ac:dyDescent="0.3">
      <c r="A10" s="4" t="s">
        <v>14</v>
      </c>
      <c r="B10" s="47">
        <v>180</v>
      </c>
      <c r="C10" s="3" t="s">
        <v>39</v>
      </c>
      <c r="D10" s="6">
        <f>INDEX('Harga Bahan'!$F$4:$F$22,MATCH(A10,'Harga Bahan'!$B$4:$B$22,0))</f>
        <v>30</v>
      </c>
      <c r="E10" s="5">
        <f t="shared" si="0"/>
        <v>5400</v>
      </c>
    </row>
    <row r="11" spans="1:5" ht="15" customHeight="1" x14ac:dyDescent="0.3">
      <c r="A11" s="4" t="s">
        <v>15</v>
      </c>
      <c r="B11" s="47">
        <v>225</v>
      </c>
      <c r="C11" s="3" t="s">
        <v>39</v>
      </c>
      <c r="D11" s="6">
        <f>INDEX('Harga Bahan'!$F$4:$F$22,MATCH(A11,'Harga Bahan'!$B$4:$B$22,0))</f>
        <v>35</v>
      </c>
      <c r="E11" s="5">
        <f t="shared" si="0"/>
        <v>7875</v>
      </c>
    </row>
    <row r="12" spans="1:5" ht="15" customHeight="1" x14ac:dyDescent="0.3">
      <c r="A12" s="4" t="s">
        <v>16</v>
      </c>
      <c r="B12" s="47">
        <v>26</v>
      </c>
      <c r="C12" s="3" t="s">
        <v>39</v>
      </c>
      <c r="D12" s="6">
        <f>INDEX('Harga Bahan'!$F$4:$F$22,MATCH(A12,'Harga Bahan'!$B$4:$B$22,0))</f>
        <v>17.5</v>
      </c>
      <c r="E12" s="5">
        <f t="shared" si="0"/>
        <v>455</v>
      </c>
    </row>
    <row r="13" spans="1:5" ht="15" customHeight="1" x14ac:dyDescent="0.3">
      <c r="A13" s="73" t="s">
        <v>40</v>
      </c>
      <c r="B13" s="71"/>
      <c r="C13" s="71"/>
      <c r="D13" s="72"/>
      <c r="E13" s="14">
        <f>SUM(E6:E12)</f>
        <v>50420</v>
      </c>
    </row>
    <row r="14" spans="1:5" ht="15" customHeight="1" x14ac:dyDescent="0.3">
      <c r="A14" s="69" t="s">
        <v>41</v>
      </c>
      <c r="B14" s="69"/>
      <c r="C14" s="69"/>
      <c r="D14" s="69"/>
      <c r="E14" s="48">
        <v>8</v>
      </c>
    </row>
    <row r="15" spans="1:5" ht="15" customHeight="1" x14ac:dyDescent="0.3">
      <c r="A15" s="74" t="s">
        <v>42</v>
      </c>
      <c r="B15" s="71"/>
      <c r="C15" s="71"/>
      <c r="D15" s="72"/>
      <c r="E15" s="14">
        <f>E13/E14</f>
        <v>6302.5</v>
      </c>
    </row>
    <row r="17" spans="1:5" ht="15" customHeight="1" x14ac:dyDescent="0.3">
      <c r="A17" s="76" t="s">
        <v>43</v>
      </c>
      <c r="B17" s="71"/>
      <c r="C17" s="71"/>
      <c r="D17" s="71"/>
      <c r="E17" s="72"/>
    </row>
    <row r="18" spans="1:5" ht="23.25" customHeight="1" x14ac:dyDescent="0.3">
      <c r="A18" s="2" t="s">
        <v>2</v>
      </c>
      <c r="B18" s="2" t="s">
        <v>37</v>
      </c>
      <c r="C18" s="2" t="s">
        <v>5</v>
      </c>
      <c r="D18" s="2" t="s">
        <v>6</v>
      </c>
      <c r="E18" s="2" t="s">
        <v>38</v>
      </c>
    </row>
    <row r="19" spans="1:5" ht="15" customHeight="1" x14ac:dyDescent="0.3">
      <c r="A19" s="4" t="s">
        <v>11</v>
      </c>
      <c r="B19" s="47">
        <v>300</v>
      </c>
      <c r="C19" s="3" t="s">
        <v>39</v>
      </c>
      <c r="D19" s="6">
        <f>INDEX('Harga Bahan'!$F$4:$F$22,MATCH(A19,'Harga Bahan'!$B$4:$B$22,0))</f>
        <v>21</v>
      </c>
      <c r="E19" s="5">
        <f t="shared" ref="E19:E25" si="1">B19*D19</f>
        <v>6300</v>
      </c>
    </row>
    <row r="20" spans="1:5" ht="15" customHeight="1" x14ac:dyDescent="0.3">
      <c r="A20" s="4" t="s">
        <v>7</v>
      </c>
      <c r="B20" s="47">
        <v>1200</v>
      </c>
      <c r="C20" s="3" t="s">
        <v>39</v>
      </c>
      <c r="D20" s="6">
        <f>INDEX('Harga Bahan'!$F$4:$F$22,MATCH(A20,'Harga Bahan'!$B$4:$B$22,0))</f>
        <v>15</v>
      </c>
      <c r="E20" s="5">
        <f t="shared" si="1"/>
        <v>18000</v>
      </c>
    </row>
    <row r="21" spans="1:5" ht="15" customHeight="1" x14ac:dyDescent="0.3">
      <c r="A21" s="4" t="s">
        <v>12</v>
      </c>
      <c r="B21" s="47">
        <v>30</v>
      </c>
      <c r="C21" s="3" t="s">
        <v>39</v>
      </c>
      <c r="D21" s="6">
        <f>INDEX('Harga Bahan'!$F$4:$F$22,MATCH(A21,'Harga Bahan'!$B$4:$B$22,0))</f>
        <v>107</v>
      </c>
      <c r="E21" s="5">
        <f t="shared" si="1"/>
        <v>3210</v>
      </c>
    </row>
    <row r="22" spans="1:5" ht="15" customHeight="1" x14ac:dyDescent="0.3">
      <c r="A22" s="4" t="s">
        <v>13</v>
      </c>
      <c r="B22" s="47">
        <v>200</v>
      </c>
      <c r="C22" s="3" t="s">
        <v>39</v>
      </c>
      <c r="D22" s="6">
        <f>INDEX('Harga Bahan'!$F$4:$F$22,MATCH(A22,'Harga Bahan'!$B$4:$B$22,0))</f>
        <v>18</v>
      </c>
      <c r="E22" s="5">
        <f t="shared" si="1"/>
        <v>3600</v>
      </c>
    </row>
    <row r="23" spans="1:5" ht="15" customHeight="1" x14ac:dyDescent="0.3">
      <c r="A23" s="4" t="s">
        <v>14</v>
      </c>
      <c r="B23" s="47">
        <v>180</v>
      </c>
      <c r="C23" s="3" t="s">
        <v>39</v>
      </c>
      <c r="D23" s="6">
        <f>INDEX('Harga Bahan'!$F$4:$F$22,MATCH(A23,'Harga Bahan'!$B$4:$B$22,0))</f>
        <v>30</v>
      </c>
      <c r="E23" s="5">
        <f t="shared" si="1"/>
        <v>5400</v>
      </c>
    </row>
    <row r="24" spans="1:5" ht="15" customHeight="1" x14ac:dyDescent="0.3">
      <c r="A24" s="4" t="s">
        <v>15</v>
      </c>
      <c r="B24" s="47">
        <v>225</v>
      </c>
      <c r="C24" s="3" t="s">
        <v>39</v>
      </c>
      <c r="D24" s="6">
        <f>INDEX('Harga Bahan'!$F$4:$F$22,MATCH(A24,'Harga Bahan'!$B$4:$B$22,0))</f>
        <v>35</v>
      </c>
      <c r="E24" s="5">
        <f t="shared" si="1"/>
        <v>7875</v>
      </c>
    </row>
    <row r="25" spans="1:5" ht="15" customHeight="1" x14ac:dyDescent="0.3">
      <c r="A25" s="4" t="s">
        <v>16</v>
      </c>
      <c r="B25" s="47">
        <v>26</v>
      </c>
      <c r="C25" s="3" t="s">
        <v>39</v>
      </c>
      <c r="D25" s="6">
        <f>INDEX('Harga Bahan'!$F$4:$F$22,MATCH(A25,'Harga Bahan'!$B$4:$B$22,0))</f>
        <v>17.5</v>
      </c>
      <c r="E25" s="5">
        <f t="shared" si="1"/>
        <v>455</v>
      </c>
    </row>
    <row r="26" spans="1:5" ht="15" customHeight="1" x14ac:dyDescent="0.3">
      <c r="A26" s="73" t="s">
        <v>40</v>
      </c>
      <c r="B26" s="71"/>
      <c r="C26" s="71"/>
      <c r="D26" s="72"/>
      <c r="E26" s="14">
        <f>SUM(E19:E25)</f>
        <v>44840</v>
      </c>
    </row>
    <row r="27" spans="1:5" ht="15" customHeight="1" x14ac:dyDescent="0.3">
      <c r="A27" s="69" t="s">
        <v>41</v>
      </c>
      <c r="B27" s="69"/>
      <c r="C27" s="69"/>
      <c r="D27" s="69"/>
      <c r="E27" s="48">
        <v>8</v>
      </c>
    </row>
    <row r="28" spans="1:5" ht="15" customHeight="1" x14ac:dyDescent="0.3">
      <c r="A28" s="74" t="s">
        <v>44</v>
      </c>
      <c r="B28" s="71"/>
      <c r="C28" s="71"/>
      <c r="D28" s="72"/>
      <c r="E28" s="14">
        <f>E26/E27</f>
        <v>5605</v>
      </c>
    </row>
    <row r="30" spans="1:5" ht="15" customHeight="1" x14ac:dyDescent="0.3">
      <c r="A30" s="70" t="s">
        <v>45</v>
      </c>
      <c r="B30" s="71"/>
      <c r="C30" s="71"/>
      <c r="D30" s="71"/>
      <c r="E30" s="72"/>
    </row>
    <row r="31" spans="1:5" ht="23.25" customHeight="1" x14ac:dyDescent="0.3">
      <c r="A31" s="2" t="s">
        <v>2</v>
      </c>
      <c r="B31" s="2" t="s">
        <v>37</v>
      </c>
      <c r="C31" s="2" t="s">
        <v>5</v>
      </c>
      <c r="D31" s="2" t="s">
        <v>6</v>
      </c>
      <c r="E31" s="2" t="s">
        <v>38</v>
      </c>
    </row>
    <row r="32" spans="1:5" ht="15" customHeight="1" x14ac:dyDescent="0.3">
      <c r="A32" s="4" t="s">
        <v>18</v>
      </c>
      <c r="B32" s="47">
        <v>300</v>
      </c>
      <c r="C32" s="3" t="s">
        <v>39</v>
      </c>
      <c r="D32" s="6">
        <f>INDEX('Harga Bahan'!$F$4:$F$22,MATCH(A32,'Harga Bahan'!$B$4:$B$22,0))</f>
        <v>60</v>
      </c>
      <c r="E32" s="5">
        <f>B32*D32</f>
        <v>18000</v>
      </c>
    </row>
    <row r="33" spans="1:5" ht="15" customHeight="1" x14ac:dyDescent="0.3">
      <c r="A33" s="4" t="s">
        <v>19</v>
      </c>
      <c r="B33" s="47">
        <v>500</v>
      </c>
      <c r="C33" s="3" t="s">
        <v>39</v>
      </c>
      <c r="D33" s="6">
        <f>INDEX('Harga Bahan'!$F$4:$F$22,MATCH(A33,'Harga Bahan'!$B$4:$B$22,0))</f>
        <v>75</v>
      </c>
      <c r="E33" s="5">
        <f>B33*D33</f>
        <v>37500</v>
      </c>
    </row>
    <row r="34" spans="1:5" ht="15" customHeight="1" x14ac:dyDescent="0.3">
      <c r="A34" s="4" t="s">
        <v>20</v>
      </c>
      <c r="B34" s="47">
        <v>100</v>
      </c>
      <c r="C34" s="3" t="s">
        <v>39</v>
      </c>
      <c r="D34" s="6">
        <f>INDEX('Harga Bahan'!$F$4:$F$22,MATCH(A34,'Harga Bahan'!$B$4:$B$22,0))</f>
        <v>124</v>
      </c>
      <c r="E34" s="5">
        <f>B34*D34</f>
        <v>12400</v>
      </c>
    </row>
    <row r="35" spans="1:5" ht="15" customHeight="1" x14ac:dyDescent="0.3">
      <c r="A35" s="73" t="s">
        <v>40</v>
      </c>
      <c r="B35" s="71"/>
      <c r="C35" s="71"/>
      <c r="D35" s="72"/>
      <c r="E35" s="14">
        <f>SUM(E32:E34)</f>
        <v>67900</v>
      </c>
    </row>
    <row r="36" spans="1:5" ht="15" customHeight="1" x14ac:dyDescent="0.3">
      <c r="A36" s="69" t="s">
        <v>46</v>
      </c>
      <c r="B36" s="69"/>
      <c r="C36" s="69"/>
      <c r="D36" s="69"/>
      <c r="E36" s="8">
        <v>15</v>
      </c>
    </row>
    <row r="37" spans="1:5" ht="15" customHeight="1" x14ac:dyDescent="0.3">
      <c r="A37" s="74" t="s">
        <v>47</v>
      </c>
      <c r="B37" s="71"/>
      <c r="C37" s="71"/>
      <c r="D37" s="72"/>
      <c r="E37" s="14">
        <f>E35/E36</f>
        <v>4526.666666666667</v>
      </c>
    </row>
    <row r="39" spans="1:5" ht="15" customHeight="1" x14ac:dyDescent="0.3">
      <c r="A39" s="70" t="s">
        <v>48</v>
      </c>
      <c r="B39" s="71"/>
      <c r="C39" s="71"/>
      <c r="D39" s="71"/>
      <c r="E39" s="72"/>
    </row>
    <row r="40" spans="1:5" ht="23.25" customHeight="1" x14ac:dyDescent="0.3">
      <c r="A40" s="2" t="s">
        <v>2</v>
      </c>
      <c r="B40" s="2" t="s">
        <v>37</v>
      </c>
      <c r="C40" s="2" t="s">
        <v>5</v>
      </c>
      <c r="D40" s="2" t="s">
        <v>6</v>
      </c>
      <c r="E40" s="2" t="s">
        <v>38</v>
      </c>
    </row>
    <row r="41" spans="1:5" ht="15" customHeight="1" x14ac:dyDescent="0.3">
      <c r="A41" s="4" t="s">
        <v>22</v>
      </c>
      <c r="B41" s="47">
        <v>1000</v>
      </c>
      <c r="C41" s="3" t="s">
        <v>39</v>
      </c>
      <c r="D41" s="6">
        <f>INDEX('Harga Bahan'!$F$4:$F$22,MATCH(A41,'Harga Bahan'!$B$4:$B$22,0))</f>
        <v>120</v>
      </c>
      <c r="E41" s="5">
        <f>B41*D41</f>
        <v>120000</v>
      </c>
    </row>
    <row r="42" spans="1:5" ht="15" customHeight="1" x14ac:dyDescent="0.3">
      <c r="A42" s="4" t="s">
        <v>27</v>
      </c>
      <c r="B42" s="47">
        <v>2</v>
      </c>
      <c r="C42" s="3" t="s">
        <v>28</v>
      </c>
      <c r="D42" s="6">
        <f>INDEX('Harga Bahan'!$F$4:$F$22,MATCH(A42,'Harga Bahan'!$B$4:$B$22,0))</f>
        <v>7500</v>
      </c>
      <c r="E42" s="5">
        <f>B42*D42</f>
        <v>15000</v>
      </c>
    </row>
    <row r="43" spans="1:5" ht="15" customHeight="1" x14ac:dyDescent="0.3">
      <c r="A43" s="4" t="s">
        <v>26</v>
      </c>
      <c r="B43" s="47">
        <v>500</v>
      </c>
      <c r="C43" s="3" t="s">
        <v>39</v>
      </c>
      <c r="D43" s="6">
        <f>INDEX('Harga Bahan'!$F$4:$F$22,MATCH(A43,'Harga Bahan'!$B$4:$B$22,0))</f>
        <v>56</v>
      </c>
      <c r="E43" s="5">
        <f>B43*D43</f>
        <v>28000</v>
      </c>
    </row>
    <row r="44" spans="1:5" ht="15" customHeight="1" x14ac:dyDescent="0.3">
      <c r="A44" s="73" t="s">
        <v>40</v>
      </c>
      <c r="B44" s="71"/>
      <c r="C44" s="71"/>
      <c r="D44" s="72"/>
      <c r="E44" s="14">
        <f>SUM(E41:E43)</f>
        <v>163000</v>
      </c>
    </row>
    <row r="45" spans="1:5" ht="15" customHeight="1" x14ac:dyDescent="0.3">
      <c r="A45" s="69" t="s">
        <v>49</v>
      </c>
      <c r="B45" s="69"/>
      <c r="C45" s="69"/>
      <c r="D45" s="69"/>
      <c r="E45" s="49">
        <v>10000</v>
      </c>
    </row>
    <row r="46" spans="1:5" ht="15" customHeight="1" x14ac:dyDescent="0.3">
      <c r="A46" s="74" t="s">
        <v>50</v>
      </c>
      <c r="B46" s="71"/>
      <c r="C46" s="71"/>
      <c r="D46" s="72"/>
      <c r="E46" s="14">
        <f>E44+E45</f>
        <v>173000</v>
      </c>
    </row>
    <row r="47" spans="1:5" ht="15" customHeight="1" x14ac:dyDescent="0.3">
      <c r="A47" s="69" t="s">
        <v>51</v>
      </c>
      <c r="B47" s="69"/>
      <c r="C47" s="69"/>
      <c r="D47" s="69"/>
      <c r="E47" s="1">
        <v>30</v>
      </c>
    </row>
    <row r="48" spans="1:5" ht="15" customHeight="1" x14ac:dyDescent="0.3">
      <c r="A48" s="74" t="s">
        <v>52</v>
      </c>
      <c r="B48" s="71"/>
      <c r="C48" s="71"/>
      <c r="D48" s="72"/>
      <c r="E48" s="14">
        <f>E46/E47</f>
        <v>5766.666666666667</v>
      </c>
    </row>
    <row r="50" spans="1:8" ht="15" customHeight="1" x14ac:dyDescent="0.3">
      <c r="A50" s="70" t="s">
        <v>53</v>
      </c>
      <c r="B50" s="71"/>
      <c r="C50" s="71"/>
      <c r="D50" s="71"/>
      <c r="E50" s="72"/>
    </row>
    <row r="51" spans="1:8" ht="23.25" customHeight="1" x14ac:dyDescent="0.3">
      <c r="A51" s="2" t="s">
        <v>2</v>
      </c>
      <c r="B51" s="2" t="s">
        <v>37</v>
      </c>
      <c r="C51" s="2" t="s">
        <v>5</v>
      </c>
      <c r="D51" s="2" t="s">
        <v>6</v>
      </c>
      <c r="E51" s="2" t="s">
        <v>38</v>
      </c>
    </row>
    <row r="52" spans="1:8" ht="15" customHeight="1" x14ac:dyDescent="0.3">
      <c r="A52" s="4" t="s">
        <v>21</v>
      </c>
      <c r="B52" s="47">
        <v>500</v>
      </c>
      <c r="C52" s="3" t="s">
        <v>39</v>
      </c>
      <c r="D52" s="6">
        <f>INDEX('Harga Bahan'!$F$4:$F$22,MATCH(A52,'Harga Bahan'!$B$4:$B$22,0))</f>
        <v>50</v>
      </c>
      <c r="E52" s="5">
        <f>B52*D52</f>
        <v>25000</v>
      </c>
    </row>
    <row r="53" spans="1:8" ht="15" customHeight="1" x14ac:dyDescent="0.3">
      <c r="A53" s="73" t="s">
        <v>40</v>
      </c>
      <c r="B53" s="71"/>
      <c r="C53" s="71"/>
      <c r="D53" s="72"/>
      <c r="E53" s="14">
        <f>SUM(E52:E52)</f>
        <v>25000</v>
      </c>
    </row>
    <row r="54" spans="1:8" ht="15" customHeight="1" x14ac:dyDescent="0.3">
      <c r="A54" s="69" t="s">
        <v>51</v>
      </c>
      <c r="B54" s="69"/>
      <c r="C54" s="69"/>
      <c r="D54" s="69"/>
      <c r="E54" s="8">
        <v>16</v>
      </c>
    </row>
    <row r="55" spans="1:8" ht="15" customHeight="1" x14ac:dyDescent="0.3">
      <c r="A55" s="74" t="s">
        <v>54</v>
      </c>
      <c r="B55" s="71"/>
      <c r="C55" s="71"/>
      <c r="D55" s="72"/>
      <c r="E55" s="14">
        <f>E53/E54</f>
        <v>1562.5</v>
      </c>
    </row>
    <row r="57" spans="1:8" ht="15" customHeight="1" x14ac:dyDescent="0.3">
      <c r="A57" s="70" t="s">
        <v>55</v>
      </c>
      <c r="B57" s="71"/>
      <c r="C57" s="71"/>
      <c r="D57" s="71"/>
      <c r="E57" s="72"/>
    </row>
    <row r="58" spans="1:8" ht="23.25" customHeight="1" x14ac:dyDescent="0.3">
      <c r="A58" s="2" t="s">
        <v>2</v>
      </c>
      <c r="B58" s="2" t="s">
        <v>37</v>
      </c>
      <c r="C58" s="2" t="s">
        <v>5</v>
      </c>
      <c r="D58" s="2" t="s">
        <v>6</v>
      </c>
      <c r="E58" s="2" t="s">
        <v>38</v>
      </c>
    </row>
    <row r="59" spans="1:8" ht="15" customHeight="1" x14ac:dyDescent="0.3">
      <c r="A59" s="4" t="s">
        <v>23</v>
      </c>
      <c r="B59" s="47">
        <v>1</v>
      </c>
      <c r="C59" s="3" t="s">
        <v>24</v>
      </c>
      <c r="D59" s="6">
        <f>INDEX('Harga Bahan'!$F$4:$F$22,MATCH(A59,'Harga Bahan'!$B$4:$B$22,0))</f>
        <v>1200</v>
      </c>
      <c r="E59" s="5">
        <f>B59*D59</f>
        <v>1200</v>
      </c>
    </row>
    <row r="60" spans="1:8" ht="15" customHeight="1" x14ac:dyDescent="0.3">
      <c r="A60" s="4" t="s">
        <v>25</v>
      </c>
      <c r="B60" s="47">
        <v>1</v>
      </c>
      <c r="C60" s="3" t="s">
        <v>24</v>
      </c>
      <c r="D60" s="6">
        <f>INDEX('Harga Bahan'!$F$4:$F$22,MATCH(A60,'Harga Bahan'!$B$4:$B$22,0))</f>
        <v>260</v>
      </c>
      <c r="E60" s="5">
        <f>B60*D60</f>
        <v>260</v>
      </c>
    </row>
    <row r="61" spans="1:8" ht="15" customHeight="1" x14ac:dyDescent="0.3">
      <c r="A61" s="73" t="s">
        <v>56</v>
      </c>
      <c r="B61" s="71"/>
      <c r="C61" s="71"/>
      <c r="D61" s="72"/>
      <c r="E61" s="14">
        <f>SUM(E59:E60)</f>
        <v>1460</v>
      </c>
    </row>
    <row r="63" spans="1:8" ht="15" customHeight="1" x14ac:dyDescent="0.3">
      <c r="A63" s="70" t="s">
        <v>57</v>
      </c>
      <c r="B63" s="71"/>
      <c r="C63" s="71"/>
      <c r="D63" s="71"/>
      <c r="E63" s="72"/>
    </row>
    <row r="64" spans="1:8" ht="23.25" customHeight="1" x14ac:dyDescent="0.3">
      <c r="A64" s="2" t="s">
        <v>58</v>
      </c>
      <c r="B64" s="2" t="s">
        <v>59</v>
      </c>
      <c r="C64" s="2" t="s">
        <v>60</v>
      </c>
      <c r="D64" s="2" t="s">
        <v>61</v>
      </c>
      <c r="E64" s="2" t="s">
        <v>62</v>
      </c>
      <c r="F64" s="2" t="s">
        <v>63</v>
      </c>
      <c r="G64" s="15"/>
      <c r="H64" s="15"/>
    </row>
    <row r="65" spans="1:6" ht="15" customHeight="1" x14ac:dyDescent="0.3">
      <c r="A65" s="4" t="s">
        <v>64</v>
      </c>
      <c r="B65" s="16">
        <f>E15</f>
        <v>6302.5</v>
      </c>
      <c r="C65" s="36">
        <v>0</v>
      </c>
      <c r="D65" s="16">
        <f>E61</f>
        <v>1460</v>
      </c>
      <c r="E65" s="16">
        <f>'Tenaga Kerja &amp; Overhead'!$D$16</f>
        <v>1913.5679956804379</v>
      </c>
      <c r="F65" s="17">
        <f t="shared" ref="F65:F72" si="2">B65+C65+D65+E65</f>
        <v>9676.0679956804379</v>
      </c>
    </row>
    <row r="66" spans="1:6" ht="15" customHeight="1" x14ac:dyDescent="0.3">
      <c r="A66" s="4" t="s">
        <v>65</v>
      </c>
      <c r="B66" s="16">
        <f>E28</f>
        <v>5605</v>
      </c>
      <c r="C66" s="36">
        <v>0</v>
      </c>
      <c r="D66" s="16">
        <f>E61</f>
        <v>1460</v>
      </c>
      <c r="E66" s="16">
        <f>'Tenaga Kerja &amp; Overhead'!$D$16</f>
        <v>1913.5679956804379</v>
      </c>
      <c r="F66" s="17">
        <f t="shared" si="2"/>
        <v>8978.5679956804379</v>
      </c>
    </row>
    <row r="67" spans="1:6" ht="15" customHeight="1" x14ac:dyDescent="0.3">
      <c r="A67" s="4" t="s">
        <v>66</v>
      </c>
      <c r="B67" s="16">
        <f>E15</f>
        <v>6302.5</v>
      </c>
      <c r="C67" s="16">
        <f>E37</f>
        <v>4526.666666666667</v>
      </c>
      <c r="D67" s="16">
        <f>E61</f>
        <v>1460</v>
      </c>
      <c r="E67" s="16">
        <f>'Tenaga Kerja &amp; Overhead'!$D$16</f>
        <v>1913.5679956804379</v>
      </c>
      <c r="F67" s="17">
        <f t="shared" si="2"/>
        <v>14202.734662347106</v>
      </c>
    </row>
    <row r="68" spans="1:6" ht="15" customHeight="1" x14ac:dyDescent="0.3">
      <c r="A68" s="4" t="s">
        <v>67</v>
      </c>
      <c r="B68" s="16">
        <f>E28</f>
        <v>5605</v>
      </c>
      <c r="C68" s="16">
        <f>E37</f>
        <v>4526.666666666667</v>
      </c>
      <c r="D68" s="16">
        <f>E61</f>
        <v>1460</v>
      </c>
      <c r="E68" s="16">
        <f>'Tenaga Kerja &amp; Overhead'!$D$16</f>
        <v>1913.5679956804379</v>
      </c>
      <c r="F68" s="17">
        <f t="shared" si="2"/>
        <v>13505.234662347106</v>
      </c>
    </row>
    <row r="69" spans="1:6" ht="15" customHeight="1" x14ac:dyDescent="0.3">
      <c r="A69" s="4" t="s">
        <v>68</v>
      </c>
      <c r="B69" s="16">
        <f>E15</f>
        <v>6302.5</v>
      </c>
      <c r="C69" s="16">
        <f>E48</f>
        <v>5766.666666666667</v>
      </c>
      <c r="D69" s="16">
        <f>E61</f>
        <v>1460</v>
      </c>
      <c r="E69" s="16">
        <f>'Tenaga Kerja &amp; Overhead'!$D$16</f>
        <v>1913.5679956804379</v>
      </c>
      <c r="F69" s="17">
        <f t="shared" si="2"/>
        <v>15442.734662347106</v>
      </c>
    </row>
    <row r="70" spans="1:6" ht="15" customHeight="1" x14ac:dyDescent="0.3">
      <c r="A70" s="4" t="s">
        <v>69</v>
      </c>
      <c r="B70" s="16">
        <f>E28</f>
        <v>5605</v>
      </c>
      <c r="C70" s="16">
        <f>E48</f>
        <v>5766.666666666667</v>
      </c>
      <c r="D70" s="16">
        <f>E61</f>
        <v>1460</v>
      </c>
      <c r="E70" s="16">
        <f>'Tenaga Kerja &amp; Overhead'!$D$16</f>
        <v>1913.5679956804379</v>
      </c>
      <c r="F70" s="17">
        <f t="shared" si="2"/>
        <v>14745.234662347106</v>
      </c>
    </row>
    <row r="71" spans="1:6" ht="15" customHeight="1" x14ac:dyDescent="0.3">
      <c r="A71" s="4" t="s">
        <v>70</v>
      </c>
      <c r="B71" s="16">
        <f>E15</f>
        <v>6302.5</v>
      </c>
      <c r="C71" s="16">
        <f>E55</f>
        <v>1562.5</v>
      </c>
      <c r="D71" s="16">
        <f>E61</f>
        <v>1460</v>
      </c>
      <c r="E71" s="16">
        <f>'Tenaga Kerja &amp; Overhead'!$D$16</f>
        <v>1913.5679956804379</v>
      </c>
      <c r="F71" s="17">
        <f t="shared" si="2"/>
        <v>11238.567995680438</v>
      </c>
    </row>
    <row r="72" spans="1:6" ht="15" customHeight="1" x14ac:dyDescent="0.3">
      <c r="A72" s="4" t="s">
        <v>71</v>
      </c>
      <c r="B72" s="16">
        <f>E28</f>
        <v>5605</v>
      </c>
      <c r="C72" s="16">
        <f>E55</f>
        <v>1562.5</v>
      </c>
      <c r="D72" s="16">
        <f>E61</f>
        <v>1460</v>
      </c>
      <c r="E72" s="16">
        <f>'Tenaga Kerja &amp; Overhead'!$D$16</f>
        <v>1913.5679956804379</v>
      </c>
      <c r="F72" s="17">
        <f t="shared" si="2"/>
        <v>10541.067995680438</v>
      </c>
    </row>
    <row r="74" spans="1:6" ht="15" customHeight="1" x14ac:dyDescent="0.3">
      <c r="A74" s="7" t="s">
        <v>29</v>
      </c>
    </row>
    <row r="75" spans="1:6" ht="15" customHeight="1" x14ac:dyDescent="0.3">
      <c r="A75" s="18" t="s">
        <v>72</v>
      </c>
      <c r="B75" s="1" t="s">
        <v>73</v>
      </c>
    </row>
    <row r="76" spans="1:6" ht="15" customHeight="1" x14ac:dyDescent="0.3">
      <c r="A76" s="8" t="s">
        <v>74</v>
      </c>
      <c r="B76" s="1" t="s">
        <v>75</v>
      </c>
    </row>
  </sheetData>
  <mergeCells count="27">
    <mergeCell ref="A63:E63"/>
    <mergeCell ref="A47:D47"/>
    <mergeCell ref="A14:D14"/>
    <mergeCell ref="A57:E57"/>
    <mergeCell ref="A61:D61"/>
    <mergeCell ref="A2:E2"/>
    <mergeCell ref="A54:D54"/>
    <mergeCell ref="A17:E17"/>
    <mergeCell ref="A46:D46"/>
    <mergeCell ref="A37:D37"/>
    <mergeCell ref="A4:E4"/>
    <mergeCell ref="A27:D27"/>
    <mergeCell ref="A26:D26"/>
    <mergeCell ref="A55:D55"/>
    <mergeCell ref="A30:E30"/>
    <mergeCell ref="A39:E39"/>
    <mergeCell ref="A53:D53"/>
    <mergeCell ref="A35:D35"/>
    <mergeCell ref="A1:E1"/>
    <mergeCell ref="A28:D28"/>
    <mergeCell ref="A13:D13"/>
    <mergeCell ref="A44:D44"/>
    <mergeCell ref="A48:D48"/>
    <mergeCell ref="A15:D15"/>
    <mergeCell ref="A36:D36"/>
    <mergeCell ref="A45:D45"/>
    <mergeCell ref="A50:E50"/>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9"/>
  <sheetViews>
    <sheetView zoomScale="85" zoomScaleNormal="85" workbookViewId="0">
      <pane ySplit="4" topLeftCell="A80" activePane="bottomLeft" state="frozen"/>
      <selection pane="bottomLeft" activeCell="D63" sqref="D63"/>
    </sheetView>
  </sheetViews>
  <sheetFormatPr defaultColWidth="8.6640625" defaultRowHeight="14.4" x14ac:dyDescent="0.3"/>
  <cols>
    <col min="1" max="1" width="95.109375" style="1" customWidth="1"/>
    <col min="2" max="2" width="48.77734375" style="1" customWidth="1"/>
    <col min="3" max="3" width="19.88671875" style="1" customWidth="1"/>
    <col min="4" max="4" width="17" style="1" customWidth="1"/>
    <col min="5" max="5" width="20.6640625" style="1" customWidth="1"/>
  </cols>
  <sheetData>
    <row r="1" spans="1:4" ht="24" customHeight="1" x14ac:dyDescent="0.3">
      <c r="A1" s="68" t="s">
        <v>76</v>
      </c>
      <c r="B1" s="69"/>
      <c r="C1" s="69"/>
      <c r="D1" s="69"/>
    </row>
    <row r="2" spans="1:4" ht="15" customHeight="1" x14ac:dyDescent="0.3">
      <c r="A2" s="75" t="s">
        <v>77</v>
      </c>
      <c r="B2" s="69"/>
      <c r="C2" s="69"/>
      <c r="D2" s="69"/>
    </row>
    <row r="4" spans="1:4" ht="15" customHeight="1" x14ac:dyDescent="0.3">
      <c r="A4" s="70" t="s">
        <v>78</v>
      </c>
      <c r="B4" s="71"/>
      <c r="C4" s="71"/>
      <c r="D4" s="72"/>
    </row>
    <row r="5" spans="1:4" ht="15" customHeight="1" x14ac:dyDescent="0.3">
      <c r="A5" s="2" t="s">
        <v>79</v>
      </c>
      <c r="B5" s="2" t="s">
        <v>80</v>
      </c>
      <c r="C5" s="2" t="s">
        <v>5</v>
      </c>
      <c r="D5" s="2" t="s">
        <v>38</v>
      </c>
    </row>
    <row r="6" spans="1:4" ht="15" customHeight="1" x14ac:dyDescent="0.3">
      <c r="A6" s="19" t="s">
        <v>81</v>
      </c>
      <c r="B6" s="19" t="s">
        <v>82</v>
      </c>
      <c r="C6" s="19" t="s">
        <v>83</v>
      </c>
      <c r="D6" s="50">
        <v>50000</v>
      </c>
    </row>
    <row r="7" spans="1:4" ht="15" customHeight="1" x14ac:dyDescent="0.3">
      <c r="A7" s="19" t="s">
        <v>84</v>
      </c>
      <c r="B7" s="19" t="s">
        <v>82</v>
      </c>
      <c r="C7" s="19" t="s">
        <v>83</v>
      </c>
      <c r="D7" s="50">
        <v>50000</v>
      </c>
    </row>
    <row r="8" spans="1:4" ht="15" customHeight="1" x14ac:dyDescent="0.3">
      <c r="A8" s="19" t="s">
        <v>85</v>
      </c>
      <c r="B8" s="19" t="s">
        <v>86</v>
      </c>
      <c r="C8" s="19" t="s">
        <v>83</v>
      </c>
      <c r="D8" s="50">
        <v>6666.6666666666697</v>
      </c>
    </row>
    <row r="9" spans="1:4" ht="15" customHeight="1" x14ac:dyDescent="0.3">
      <c r="A9" s="80" t="s">
        <v>87</v>
      </c>
      <c r="B9" s="72"/>
      <c r="C9" s="20">
        <v>0</v>
      </c>
      <c r="D9" s="21">
        <f>C9*10000</f>
        <v>0</v>
      </c>
    </row>
    <row r="10" spans="1:4" ht="15" customHeight="1" x14ac:dyDescent="0.3">
      <c r="A10" s="73" t="s">
        <v>88</v>
      </c>
      <c r="B10" s="71"/>
      <c r="C10" s="72"/>
      <c r="D10" s="14">
        <f>SUM(D6:D8)+D9</f>
        <v>106666.66666666667</v>
      </c>
    </row>
    <row r="12" spans="1:4" ht="15" customHeight="1" x14ac:dyDescent="0.3">
      <c r="A12" s="9" t="s">
        <v>89</v>
      </c>
      <c r="C12" s="22"/>
      <c r="D12" s="23">
        <f>D82</f>
        <v>64</v>
      </c>
    </row>
    <row r="13" spans="1:4" ht="15" customHeight="1" x14ac:dyDescent="0.3">
      <c r="A13" s="19" t="s">
        <v>90</v>
      </c>
      <c r="C13" s="24"/>
      <c r="D13" s="25">
        <f>D10/D12</f>
        <v>1666.6666666666667</v>
      </c>
    </row>
    <row r="14" spans="1:4" ht="15" customHeight="1" x14ac:dyDescent="0.3">
      <c r="A14" s="9" t="s">
        <v>91</v>
      </c>
      <c r="C14" s="24"/>
      <c r="D14" s="26">
        <f>E53/D12</f>
        <v>114.58801107689676</v>
      </c>
    </row>
    <row r="15" spans="1:4" ht="15" customHeight="1" x14ac:dyDescent="0.3">
      <c r="A15" s="9" t="s">
        <v>92</v>
      </c>
      <c r="C15" s="24"/>
      <c r="D15" s="26">
        <f>D62/D12</f>
        <v>132.31331793687451</v>
      </c>
    </row>
    <row r="16" spans="1:4" ht="15" customHeight="1" x14ac:dyDescent="0.3">
      <c r="A16" s="13" t="s">
        <v>93</v>
      </c>
      <c r="C16" s="27"/>
      <c r="D16" s="14">
        <f>D13+D14+D15</f>
        <v>1913.5679956804379</v>
      </c>
    </row>
    <row r="19" spans="1:4" ht="15" customHeight="1" x14ac:dyDescent="0.3">
      <c r="A19" s="70" t="s">
        <v>94</v>
      </c>
      <c r="B19" s="71"/>
      <c r="C19" s="71"/>
      <c r="D19" s="72"/>
    </row>
    <row r="20" spans="1:4" ht="15" customHeight="1" x14ac:dyDescent="0.3">
      <c r="A20" s="2" t="s">
        <v>79</v>
      </c>
      <c r="B20" s="2" t="s">
        <v>80</v>
      </c>
      <c r="C20" s="2" t="s">
        <v>5</v>
      </c>
      <c r="D20" s="2" t="s">
        <v>38</v>
      </c>
    </row>
    <row r="21" spans="1:4" ht="15" customHeight="1" x14ac:dyDescent="0.3">
      <c r="A21" s="19" t="s">
        <v>95</v>
      </c>
      <c r="B21" s="19" t="s">
        <v>96</v>
      </c>
      <c r="C21" s="19" t="s">
        <v>97</v>
      </c>
      <c r="D21" s="50">
        <v>0</v>
      </c>
    </row>
    <row r="22" spans="1:4" ht="15" customHeight="1" x14ac:dyDescent="0.3">
      <c r="A22" s="19" t="s">
        <v>98</v>
      </c>
      <c r="B22" s="19" t="s">
        <v>96</v>
      </c>
      <c r="C22" s="19" t="s">
        <v>97</v>
      </c>
      <c r="D22" s="50">
        <v>800000</v>
      </c>
    </row>
    <row r="23" spans="1:4" ht="15" customHeight="1" x14ac:dyDescent="0.3">
      <c r="A23" s="19" t="s">
        <v>99</v>
      </c>
      <c r="B23" s="19" t="s">
        <v>100</v>
      </c>
      <c r="C23" s="19" t="s">
        <v>97</v>
      </c>
      <c r="D23" s="50">
        <v>1000000</v>
      </c>
    </row>
    <row r="24" spans="1:4" ht="15" customHeight="1" x14ac:dyDescent="0.3">
      <c r="A24" s="73" t="s">
        <v>101</v>
      </c>
      <c r="B24" s="71"/>
      <c r="C24" s="72"/>
      <c r="D24" s="14">
        <f>SUM(D21:D23)</f>
        <v>1800000</v>
      </c>
    </row>
    <row r="25" spans="1:4" ht="15" customHeight="1" x14ac:dyDescent="0.3">
      <c r="A25" s="9"/>
    </row>
    <row r="26" spans="1:4" ht="15" customHeight="1" x14ac:dyDescent="0.3">
      <c r="A26" s="79" t="s">
        <v>102</v>
      </c>
      <c r="B26" s="69"/>
      <c r="C26" s="69"/>
      <c r="D26" s="69"/>
    </row>
    <row r="27" spans="1:4" ht="15" customHeight="1" x14ac:dyDescent="0.3">
      <c r="A27" s="29" t="s">
        <v>103</v>
      </c>
      <c r="D27" s="51">
        <v>8.8000000000000007</v>
      </c>
    </row>
    <row r="28" spans="1:4" ht="14.25" customHeight="1" x14ac:dyDescent="0.3">
      <c r="A28" s="9" t="s">
        <v>104</v>
      </c>
      <c r="D28" s="8">
        <v>2</v>
      </c>
    </row>
    <row r="29" spans="1:4" ht="15" customHeight="1" x14ac:dyDescent="0.3">
      <c r="A29" s="9" t="s">
        <v>105</v>
      </c>
      <c r="D29" s="52">
        <v>37.5</v>
      </c>
    </row>
    <row r="30" spans="1:4" ht="14.25" customHeight="1" x14ac:dyDescent="0.3">
      <c r="A30" s="9" t="s">
        <v>106</v>
      </c>
      <c r="D30" s="49">
        <v>10000</v>
      </c>
    </row>
    <row r="31" spans="1:4" ht="14.25" customHeight="1" x14ac:dyDescent="0.3">
      <c r="A31" s="7" t="s">
        <v>107</v>
      </c>
      <c r="D31" s="27">
        <f>(D27*D28)/D29*D30</f>
        <v>4693.3333333333339</v>
      </c>
    </row>
    <row r="32" spans="1:4" ht="14.25" customHeight="1" x14ac:dyDescent="0.3">
      <c r="A32" s="9" t="s">
        <v>108</v>
      </c>
      <c r="D32" s="1">
        <f>D71</f>
        <v>25.98</v>
      </c>
    </row>
    <row r="33" spans="1:6" ht="14.25" customHeight="1" x14ac:dyDescent="0.3">
      <c r="A33" s="7" t="s">
        <v>109</v>
      </c>
      <c r="D33" s="27">
        <f>D31*D32</f>
        <v>121932.80000000002</v>
      </c>
    </row>
    <row r="34" spans="1:6" ht="14.25" customHeight="1" x14ac:dyDescent="0.3">
      <c r="A34" s="28" t="s">
        <v>110</v>
      </c>
      <c r="D34" s="30">
        <f>D24+D33</f>
        <v>1921932.8</v>
      </c>
    </row>
    <row r="35" spans="1:6" ht="14.25" customHeight="1" x14ac:dyDescent="0.3">
      <c r="A35" s="9" t="s">
        <v>111</v>
      </c>
      <c r="C35" s="22"/>
      <c r="D35" s="23">
        <f>D12</f>
        <v>64</v>
      </c>
    </row>
    <row r="36" spans="1:6" ht="14.25" customHeight="1" x14ac:dyDescent="0.3">
      <c r="A36" s="9" t="s">
        <v>112</v>
      </c>
      <c r="C36" s="24"/>
      <c r="D36" s="26">
        <f>D24/D32/D35</f>
        <v>1082.5635103926097</v>
      </c>
    </row>
    <row r="37" spans="1:6" ht="14.25" customHeight="1" x14ac:dyDescent="0.3">
      <c r="A37" s="9" t="s">
        <v>113</v>
      </c>
      <c r="C37" s="24"/>
      <c r="D37" s="24">
        <f>D33/D32/D35</f>
        <v>73.333333333333343</v>
      </c>
    </row>
    <row r="38" spans="1:6" ht="26.25" customHeight="1" x14ac:dyDescent="0.3">
      <c r="A38" s="31" t="s">
        <v>114</v>
      </c>
      <c r="C38" s="27"/>
      <c r="D38" s="30">
        <f>D36+D37</f>
        <v>1155.896843725943</v>
      </c>
    </row>
    <row r="39" spans="1:6" ht="21.75" customHeight="1" x14ac:dyDescent="0.3">
      <c r="A39" s="81" t="s">
        <v>115</v>
      </c>
      <c r="B39" s="69"/>
      <c r="C39" s="69"/>
      <c r="D39" s="69"/>
      <c r="E39" s="69"/>
      <c r="F39" s="69"/>
    </row>
    <row r="40" spans="1:6" ht="14.25" customHeight="1" x14ac:dyDescent="0.3">
      <c r="A40" s="78" t="s">
        <v>116</v>
      </c>
      <c r="B40" s="69"/>
      <c r="C40" s="69"/>
      <c r="D40" s="69"/>
      <c r="E40" s="69"/>
    </row>
    <row r="41" spans="1:6" ht="14.25" customHeight="1" x14ac:dyDescent="0.3">
      <c r="A41" s="34" t="s">
        <v>117</v>
      </c>
      <c r="B41" s="34" t="s">
        <v>118</v>
      </c>
      <c r="C41" s="34" t="s">
        <v>119</v>
      </c>
      <c r="D41" s="34" t="s">
        <v>120</v>
      </c>
      <c r="E41" s="34" t="s">
        <v>121</v>
      </c>
    </row>
    <row r="42" spans="1:6" ht="14.25" customHeight="1" x14ac:dyDescent="0.3">
      <c r="A42" s="9" t="s">
        <v>122</v>
      </c>
      <c r="B42" s="49">
        <v>10000000</v>
      </c>
      <c r="C42" s="53">
        <v>12</v>
      </c>
      <c r="D42" s="54">
        <v>1</v>
      </c>
      <c r="E42" s="24">
        <f t="shared" ref="E42:E49" si="0">B42/C42*D42</f>
        <v>833333.33333333337</v>
      </c>
    </row>
    <row r="43" spans="1:6" ht="14.25" customHeight="1" x14ac:dyDescent="0.3">
      <c r="A43" s="9" t="s">
        <v>123</v>
      </c>
      <c r="B43" s="49">
        <v>3000000</v>
      </c>
      <c r="C43" s="53">
        <v>8</v>
      </c>
      <c r="D43" s="54">
        <v>1</v>
      </c>
      <c r="E43" s="24">
        <f t="shared" si="0"/>
        <v>375000</v>
      </c>
    </row>
    <row r="44" spans="1:6" ht="14.25" customHeight="1" x14ac:dyDescent="0.3">
      <c r="A44" s="9" t="s">
        <v>124</v>
      </c>
      <c r="B44" s="49">
        <v>550000</v>
      </c>
      <c r="C44" s="53">
        <v>8</v>
      </c>
      <c r="D44" s="54">
        <v>1</v>
      </c>
      <c r="E44" s="24">
        <f t="shared" si="0"/>
        <v>68750</v>
      </c>
    </row>
    <row r="45" spans="1:6" ht="14.25" customHeight="1" x14ac:dyDescent="0.3">
      <c r="A45" s="9" t="s">
        <v>125</v>
      </c>
      <c r="B45" s="49">
        <v>3800000</v>
      </c>
      <c r="C45" s="53">
        <v>10</v>
      </c>
      <c r="D45" s="54">
        <v>1</v>
      </c>
      <c r="E45" s="24">
        <f t="shared" si="0"/>
        <v>380000</v>
      </c>
    </row>
    <row r="46" spans="1:6" ht="14.25" customHeight="1" x14ac:dyDescent="0.3">
      <c r="A46" s="9" t="s">
        <v>126</v>
      </c>
      <c r="B46" s="49">
        <v>400000</v>
      </c>
      <c r="C46" s="53">
        <v>5</v>
      </c>
      <c r="D46" s="54">
        <v>1</v>
      </c>
      <c r="E46" s="24">
        <f t="shared" si="0"/>
        <v>80000</v>
      </c>
    </row>
    <row r="47" spans="1:6" ht="14.25" customHeight="1" x14ac:dyDescent="0.3">
      <c r="A47" s="9" t="s">
        <v>127</v>
      </c>
      <c r="B47" s="49">
        <v>380000</v>
      </c>
      <c r="C47" s="53">
        <v>8</v>
      </c>
      <c r="D47" s="54">
        <v>0.3</v>
      </c>
      <c r="E47" s="24">
        <f t="shared" si="0"/>
        <v>14250</v>
      </c>
    </row>
    <row r="48" spans="1:6" ht="14.25" customHeight="1" x14ac:dyDescent="0.3">
      <c r="A48" s="9" t="s">
        <v>128</v>
      </c>
      <c r="B48" s="49">
        <v>175000</v>
      </c>
      <c r="C48" s="53">
        <v>5</v>
      </c>
      <c r="D48" s="54">
        <v>1</v>
      </c>
      <c r="E48" s="24">
        <f t="shared" si="0"/>
        <v>35000</v>
      </c>
    </row>
    <row r="49" spans="1:5" ht="14.25" customHeight="1" x14ac:dyDescent="0.3">
      <c r="A49" s="9" t="s">
        <v>129</v>
      </c>
      <c r="B49" s="49">
        <v>2000000</v>
      </c>
      <c r="C49" s="53">
        <v>8</v>
      </c>
      <c r="D49" s="54">
        <v>1</v>
      </c>
      <c r="E49" s="24">
        <f t="shared" si="0"/>
        <v>250000</v>
      </c>
    </row>
    <row r="50" spans="1:5" ht="14.25" customHeight="1" x14ac:dyDescent="0.3">
      <c r="A50" s="9" t="s">
        <v>130</v>
      </c>
      <c r="B50" s="1" t="s">
        <v>131</v>
      </c>
      <c r="C50" s="1" t="s">
        <v>131</v>
      </c>
      <c r="D50" s="1" t="s">
        <v>131</v>
      </c>
      <c r="E50" s="49">
        <v>250000</v>
      </c>
    </row>
    <row r="51" spans="1:5" ht="14.25" customHeight="1" x14ac:dyDescent="0.3">
      <c r="A51" s="7" t="s">
        <v>132</v>
      </c>
      <c r="E51" s="27">
        <f>SUM(E42:E50)</f>
        <v>2286333.3333333335</v>
      </c>
    </row>
    <row r="52" spans="1:5" ht="14.25" customHeight="1" x14ac:dyDescent="0.3">
      <c r="A52" s="9" t="s">
        <v>133</v>
      </c>
      <c r="E52" s="1">
        <f>D32*12</f>
        <v>311.76</v>
      </c>
    </row>
    <row r="53" spans="1:5" ht="14.25" customHeight="1" x14ac:dyDescent="0.3">
      <c r="A53" s="7" t="s">
        <v>134</v>
      </c>
      <c r="E53" s="27">
        <f>E51/E52</f>
        <v>7333.6327089213928</v>
      </c>
    </row>
    <row r="54" spans="1:5" ht="14.25" customHeight="1" x14ac:dyDescent="0.3">
      <c r="A54" s="28" t="s">
        <v>135</v>
      </c>
      <c r="C54" s="22"/>
      <c r="D54" s="30">
        <f>E53/D12</f>
        <v>114.58801107689676</v>
      </c>
      <c r="E54" s="26"/>
    </row>
    <row r="55" spans="1:5" ht="14.25" customHeight="1" x14ac:dyDescent="0.3">
      <c r="C55" s="27"/>
      <c r="D55" s="27"/>
    </row>
    <row r="56" spans="1:5" ht="14.25" customHeight="1" x14ac:dyDescent="0.3">
      <c r="A56" s="78" t="s">
        <v>136</v>
      </c>
      <c r="B56" s="69"/>
      <c r="C56" s="69"/>
      <c r="D56" s="69"/>
    </row>
    <row r="57" spans="1:5" ht="14.25" customHeight="1" x14ac:dyDescent="0.3">
      <c r="A57" s="9" t="s">
        <v>137</v>
      </c>
      <c r="D57" s="8">
        <v>2300</v>
      </c>
    </row>
    <row r="58" spans="1:5" ht="14.25" customHeight="1" x14ac:dyDescent="0.3">
      <c r="A58" s="9" t="s">
        <v>138</v>
      </c>
      <c r="D58" s="49">
        <v>1100000</v>
      </c>
    </row>
    <row r="59" spans="1:5" ht="14.25" customHeight="1" x14ac:dyDescent="0.3">
      <c r="A59" s="9" t="s">
        <v>139</v>
      </c>
      <c r="D59" s="54">
        <v>0.2</v>
      </c>
    </row>
    <row r="60" spans="1:5" ht="14.25" customHeight="1" x14ac:dyDescent="0.3">
      <c r="A60" s="7" t="s">
        <v>140</v>
      </c>
      <c r="D60" s="27">
        <f>D58*D59</f>
        <v>220000</v>
      </c>
    </row>
    <row r="61" spans="1:5" ht="14.25" customHeight="1" x14ac:dyDescent="0.3">
      <c r="A61" s="9" t="s">
        <v>108</v>
      </c>
      <c r="D61" s="1">
        <f>D32</f>
        <v>25.98</v>
      </c>
    </row>
    <row r="62" spans="1:5" ht="14.25" customHeight="1" x14ac:dyDescent="0.3">
      <c r="A62" s="7" t="s">
        <v>141</v>
      </c>
      <c r="D62" s="27">
        <f>D60/D61</f>
        <v>8468.0523479599688</v>
      </c>
    </row>
    <row r="63" spans="1:5" ht="14.25" customHeight="1" x14ac:dyDescent="0.3">
      <c r="A63" s="28" t="s">
        <v>92</v>
      </c>
      <c r="C63" s="22"/>
      <c r="D63" s="30">
        <f>D62/D12</f>
        <v>132.31331793687451</v>
      </c>
    </row>
    <row r="64" spans="1:5" ht="14.25" customHeight="1" x14ac:dyDescent="0.3">
      <c r="C64" s="27"/>
      <c r="D64" s="27"/>
    </row>
    <row r="65" spans="1:4" ht="14.25" customHeight="1" x14ac:dyDescent="0.3">
      <c r="A65" s="78" t="s">
        <v>142</v>
      </c>
      <c r="B65" s="69"/>
      <c r="C65" s="69"/>
      <c r="D65" s="69"/>
    </row>
    <row r="66" spans="1:4" ht="14.25" customHeight="1" x14ac:dyDescent="0.3">
      <c r="A66" s="9" t="s">
        <v>143</v>
      </c>
      <c r="D66" s="8">
        <v>6</v>
      </c>
    </row>
    <row r="67" spans="1:4" ht="14.25" customHeight="1" x14ac:dyDescent="0.3">
      <c r="A67" s="9" t="s">
        <v>144</v>
      </c>
      <c r="D67" s="8">
        <v>4</v>
      </c>
    </row>
    <row r="68" spans="1:4" ht="14.25" customHeight="1" x14ac:dyDescent="0.3">
      <c r="A68" s="9" t="s">
        <v>145</v>
      </c>
      <c r="D68" s="8">
        <v>2</v>
      </c>
    </row>
    <row r="69" spans="1:4" ht="14.25" customHeight="1" x14ac:dyDescent="0.3">
      <c r="A69" s="7" t="s">
        <v>146</v>
      </c>
      <c r="D69" s="8">
        <v>48</v>
      </c>
    </row>
    <row r="70" spans="1:4" ht="14.25" customHeight="1" x14ac:dyDescent="0.3">
      <c r="A70" s="7" t="s">
        <v>147</v>
      </c>
      <c r="D70" s="8">
        <v>96</v>
      </c>
    </row>
    <row r="71" spans="1:4" ht="14.25" customHeight="1" x14ac:dyDescent="0.3">
      <c r="A71" s="9" t="s">
        <v>148</v>
      </c>
      <c r="D71" s="1">
        <f>D66*4.33</f>
        <v>25.98</v>
      </c>
    </row>
    <row r="72" spans="1:4" ht="14.25" customHeight="1" x14ac:dyDescent="0.3">
      <c r="A72" s="9" t="s">
        <v>149</v>
      </c>
      <c r="D72" s="1">
        <f>D71*D67/D66</f>
        <v>17.32</v>
      </c>
    </row>
    <row r="73" spans="1:4" ht="14.25" customHeight="1" x14ac:dyDescent="0.3">
      <c r="A73" s="9" t="s">
        <v>150</v>
      </c>
      <c r="D73" s="1">
        <f>D71*D68/D66</f>
        <v>8.66</v>
      </c>
    </row>
    <row r="74" spans="1:4" ht="14.25" customHeight="1" x14ac:dyDescent="0.3">
      <c r="A74" s="7" t="s">
        <v>151</v>
      </c>
      <c r="D74" s="27">
        <f>D72*D69+D73*D70</f>
        <v>1662.72</v>
      </c>
    </row>
    <row r="75" spans="1:4" ht="14.25" customHeight="1" x14ac:dyDescent="0.3">
      <c r="A75" s="33" t="s">
        <v>152</v>
      </c>
    </row>
    <row r="76" spans="1:4" ht="14.25" customHeight="1" x14ac:dyDescent="0.3">
      <c r="A76" s="7" t="s">
        <v>153</v>
      </c>
      <c r="D76" s="27">
        <f>D69</f>
        <v>48</v>
      </c>
    </row>
    <row r="77" spans="1:4" ht="14.25" customHeight="1" x14ac:dyDescent="0.3">
      <c r="A77" s="7" t="s">
        <v>154</v>
      </c>
      <c r="D77" s="27">
        <f>D70</f>
        <v>96</v>
      </c>
    </row>
    <row r="78" spans="1:4" ht="14.25" customHeight="1" x14ac:dyDescent="0.3">
      <c r="A78" s="1" t="s">
        <v>149</v>
      </c>
      <c r="D78" s="24">
        <f>D72</f>
        <v>17.32</v>
      </c>
    </row>
    <row r="79" spans="1:4" ht="14.25" customHeight="1" x14ac:dyDescent="0.3">
      <c r="A79" s="1" t="s">
        <v>150</v>
      </c>
      <c r="D79" s="24">
        <f>D73</f>
        <v>8.66</v>
      </c>
    </row>
    <row r="80" spans="1:4" ht="14.25" customHeight="1" x14ac:dyDescent="0.3">
      <c r="A80" s="1" t="s">
        <v>155</v>
      </c>
      <c r="D80" s="24">
        <f>D76*D78+D77*D79</f>
        <v>1662.72</v>
      </c>
    </row>
    <row r="81" spans="1:4" ht="14.25" customHeight="1" x14ac:dyDescent="0.3">
      <c r="A81" s="1" t="s">
        <v>156</v>
      </c>
      <c r="D81" s="24">
        <f>D71</f>
        <v>25.98</v>
      </c>
    </row>
    <row r="82" spans="1:4" ht="14.25" customHeight="1" x14ac:dyDescent="0.3">
      <c r="A82" s="28" t="s">
        <v>157</v>
      </c>
      <c r="D82" s="30">
        <f>D80/D81</f>
        <v>64</v>
      </c>
    </row>
    <row r="84" spans="1:4" ht="32.85" customHeight="1" x14ac:dyDescent="0.3">
      <c r="A84" s="32" t="s">
        <v>158</v>
      </c>
    </row>
    <row r="90" spans="1:4" ht="14.25" customHeight="1" x14ac:dyDescent="0.3">
      <c r="A90" s="69"/>
      <c r="B90" s="69"/>
      <c r="C90" s="69"/>
      <c r="D90" s="69"/>
    </row>
    <row r="99" spans="1:6" ht="32.25" customHeight="1" x14ac:dyDescent="0.3">
      <c r="A99" s="69"/>
      <c r="B99" s="69"/>
      <c r="C99" s="69"/>
      <c r="D99" s="69"/>
      <c r="E99" s="69"/>
      <c r="F99" s="69"/>
    </row>
  </sheetData>
  <mergeCells count="14">
    <mergeCell ref="A10:C10"/>
    <mergeCell ref="A1:D1"/>
    <mergeCell ref="A56:D56"/>
    <mergeCell ref="A99:F99"/>
    <mergeCell ref="A4:D4"/>
    <mergeCell ref="A26:D26"/>
    <mergeCell ref="A65:D65"/>
    <mergeCell ref="A24:C24"/>
    <mergeCell ref="A2:D2"/>
    <mergeCell ref="A19:D19"/>
    <mergeCell ref="A9:B9"/>
    <mergeCell ref="A39:F39"/>
    <mergeCell ref="A40:E40"/>
    <mergeCell ref="A90:D90"/>
  </mergeCell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
  <sheetViews>
    <sheetView zoomScaleNormal="100" workbookViewId="0">
      <pane ySplit="4" topLeftCell="A5" activePane="bottomLeft" state="frozen"/>
      <selection pane="bottomLeft" activeCell="C5" sqref="C5"/>
    </sheetView>
  </sheetViews>
  <sheetFormatPr defaultColWidth="8.6640625" defaultRowHeight="14.4" x14ac:dyDescent="0.3"/>
  <cols>
    <col min="1" max="1" width="38" style="1" customWidth="1"/>
    <col min="2" max="3" width="24" style="1" customWidth="1"/>
    <col min="4" max="4" width="22" style="1" customWidth="1"/>
  </cols>
  <sheetData>
    <row r="1" spans="1:7" ht="24" customHeight="1" x14ac:dyDescent="0.3">
      <c r="A1" s="68" t="s">
        <v>159</v>
      </c>
      <c r="B1" s="69"/>
      <c r="C1" s="69"/>
      <c r="D1" s="69"/>
    </row>
    <row r="2" spans="1:7" ht="27.75" customHeight="1" x14ac:dyDescent="0.3">
      <c r="A2" s="75" t="s">
        <v>160</v>
      </c>
      <c r="B2" s="69"/>
      <c r="C2" s="69"/>
      <c r="D2" s="69"/>
    </row>
    <row r="4" spans="1:7" ht="23.25" customHeight="1" x14ac:dyDescent="0.3">
      <c r="A4" s="2" t="s">
        <v>58</v>
      </c>
      <c r="B4" s="2" t="s">
        <v>161</v>
      </c>
      <c r="C4" s="2" t="s">
        <v>162</v>
      </c>
      <c r="D4" s="2" t="s">
        <v>163</v>
      </c>
      <c r="E4" s="9"/>
      <c r="F4" s="9"/>
      <c r="G4" s="9"/>
    </row>
    <row r="5" spans="1:7" ht="15" customHeight="1" x14ac:dyDescent="0.3">
      <c r="A5" s="4" t="str">
        <f>'Resep &amp; HPP'!$A$65</f>
        <v>Roti Original - Adonan Bungasari</v>
      </c>
      <c r="B5" s="16">
        <f>'Resep &amp; HPP'!$F$65</f>
        <v>9676.0679956804379</v>
      </c>
      <c r="C5" s="16">
        <f>'Tenaga Kerja &amp; Overhead'!$D$38</f>
        <v>1155.896843725943</v>
      </c>
      <c r="D5" s="17">
        <f t="shared" ref="D5:D12" si="0">B5+C5</f>
        <v>10831.964839406381</v>
      </c>
      <c r="E5" s="35"/>
      <c r="F5" s="35"/>
      <c r="G5" s="35"/>
    </row>
    <row r="6" spans="1:7" ht="15" customHeight="1" x14ac:dyDescent="0.3">
      <c r="A6" s="4" t="str">
        <f>'Resep &amp; HPP'!$A$66</f>
        <v>Roti Original - Adonan Natural</v>
      </c>
      <c r="B6" s="16">
        <f>'Resep &amp; HPP'!$F$66</f>
        <v>8978.5679956804379</v>
      </c>
      <c r="C6" s="16">
        <f>'Tenaga Kerja &amp; Overhead'!$D$38</f>
        <v>1155.896843725943</v>
      </c>
      <c r="D6" s="17">
        <f t="shared" si="0"/>
        <v>10134.464839406381</v>
      </c>
      <c r="E6" s="35"/>
      <c r="F6" s="35"/>
      <c r="G6" s="35"/>
    </row>
    <row r="7" spans="1:7" ht="15" customHeight="1" x14ac:dyDescent="0.3">
      <c r="A7" s="4" t="str">
        <f>'Resep &amp; HPP'!$A$67</f>
        <v>Roti Keju - Adonan Bungasari</v>
      </c>
      <c r="B7" s="16">
        <f>'Resep &amp; HPP'!$F$67</f>
        <v>14202.734662347106</v>
      </c>
      <c r="C7" s="16">
        <f>'Tenaga Kerja &amp; Overhead'!$D$38</f>
        <v>1155.896843725943</v>
      </c>
      <c r="D7" s="17">
        <f t="shared" si="0"/>
        <v>15358.631506073049</v>
      </c>
      <c r="E7" s="35"/>
      <c r="F7" s="35"/>
      <c r="G7" s="35"/>
    </row>
    <row r="8" spans="1:7" ht="15" customHeight="1" x14ac:dyDescent="0.3">
      <c r="A8" s="4" t="str">
        <f>'Resep &amp; HPP'!$A$68</f>
        <v>Roti Keju - Adonan Natural</v>
      </c>
      <c r="B8" s="16">
        <f>'Resep &amp; HPP'!$F$68</f>
        <v>13505.234662347106</v>
      </c>
      <c r="C8" s="16">
        <f>'Tenaga Kerja &amp; Overhead'!$D$38</f>
        <v>1155.896843725943</v>
      </c>
      <c r="D8" s="17">
        <f t="shared" si="0"/>
        <v>14661.131506073049</v>
      </c>
      <c r="E8" s="35"/>
      <c r="F8" s="35"/>
      <c r="G8" s="35"/>
    </row>
    <row r="9" spans="1:7" ht="15" customHeight="1" x14ac:dyDescent="0.3">
      <c r="A9" s="4" t="str">
        <f>'Resep &amp; HPP'!$A$69</f>
        <v>Roti Daging - Adonan Bungasari</v>
      </c>
      <c r="B9" s="16">
        <f>'Resep &amp; HPP'!$F$69</f>
        <v>15442.734662347106</v>
      </c>
      <c r="C9" s="16">
        <f>'Tenaga Kerja &amp; Overhead'!$D$38</f>
        <v>1155.896843725943</v>
      </c>
      <c r="D9" s="17">
        <f t="shared" si="0"/>
        <v>16598.631506073049</v>
      </c>
      <c r="E9" s="35"/>
      <c r="F9" s="35"/>
      <c r="G9" s="35"/>
    </row>
    <row r="10" spans="1:7" ht="15" customHeight="1" x14ac:dyDescent="0.3">
      <c r="A10" s="4" t="str">
        <f>'Resep &amp; HPP'!$A$70</f>
        <v>Roti Daging - Adonan Natural</v>
      </c>
      <c r="B10" s="16">
        <f>'Resep &amp; HPP'!$F$70</f>
        <v>14745.234662347106</v>
      </c>
      <c r="C10" s="16">
        <f>'Tenaga Kerja &amp; Overhead'!$D$38</f>
        <v>1155.896843725943</v>
      </c>
      <c r="D10" s="17">
        <f t="shared" si="0"/>
        <v>15901.131506073049</v>
      </c>
      <c r="E10" s="35"/>
      <c r="F10" s="35"/>
      <c r="G10" s="35"/>
    </row>
    <row r="11" spans="1:7" ht="15" customHeight="1" x14ac:dyDescent="0.3">
      <c r="A11" s="4" t="str">
        <f>'Resep &amp; HPP'!$A$71</f>
        <v>Roti Coklat - Adonan Bungasari</v>
      </c>
      <c r="B11" s="16">
        <f>'Resep &amp; HPP'!$F$71</f>
        <v>11238.567995680438</v>
      </c>
      <c r="C11" s="16">
        <f>'Tenaga Kerja &amp; Overhead'!$D$38</f>
        <v>1155.896843725943</v>
      </c>
      <c r="D11" s="17">
        <f t="shared" si="0"/>
        <v>12394.464839406381</v>
      </c>
      <c r="E11" s="35"/>
      <c r="F11" s="35"/>
      <c r="G11" s="35"/>
    </row>
    <row r="12" spans="1:7" ht="15" customHeight="1" x14ac:dyDescent="0.3">
      <c r="A12" s="4" t="str">
        <f>'Resep &amp; HPP'!$A$72</f>
        <v>Roti Coklat - Adonan Natural</v>
      </c>
      <c r="B12" s="16">
        <f>'Resep &amp; HPP'!$F$72</f>
        <v>10541.067995680438</v>
      </c>
      <c r="C12" s="16">
        <f>'Tenaga Kerja &amp; Overhead'!$D$38</f>
        <v>1155.896843725943</v>
      </c>
      <c r="D12" s="17">
        <f t="shared" si="0"/>
        <v>11696.964839406381</v>
      </c>
      <c r="E12" s="35"/>
      <c r="F12" s="35"/>
      <c r="G12" s="35"/>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4"/>
  <sheetViews>
    <sheetView tabSelected="1" zoomScaleNormal="100" workbookViewId="0">
      <pane ySplit="3" topLeftCell="A4" activePane="bottomLeft" state="frozen"/>
      <selection pane="bottomLeft" activeCell="F23" sqref="F23"/>
    </sheetView>
  </sheetViews>
  <sheetFormatPr defaultColWidth="8.6640625" defaultRowHeight="14.4" x14ac:dyDescent="0.3"/>
  <cols>
    <col min="1" max="1" width="46" style="1" customWidth="1"/>
    <col min="2" max="2" width="22.33203125" style="1" customWidth="1"/>
    <col min="3" max="3" width="21.109375" style="1" customWidth="1"/>
    <col min="4" max="4" width="21.33203125" style="1" customWidth="1"/>
    <col min="5" max="5" width="20.6640625" style="1" customWidth="1"/>
    <col min="6" max="6" width="34.44140625" style="1" customWidth="1"/>
    <col min="7" max="7" width="34.5546875" style="1" customWidth="1"/>
  </cols>
  <sheetData>
    <row r="1" spans="1:10" ht="24" customHeight="1" x14ac:dyDescent="0.3">
      <c r="A1" s="68" t="s">
        <v>164</v>
      </c>
      <c r="B1" s="69"/>
      <c r="C1" s="69"/>
      <c r="D1" s="69"/>
      <c r="E1" s="69"/>
      <c r="F1" s="69"/>
    </row>
    <row r="2" spans="1:10" ht="15" customHeight="1" x14ac:dyDescent="0.3">
      <c r="A2" s="75" t="s">
        <v>165</v>
      </c>
      <c r="B2" s="69"/>
      <c r="C2" s="69"/>
      <c r="D2" s="69"/>
      <c r="E2" s="69"/>
      <c r="F2" s="69"/>
      <c r="G2" s="69"/>
    </row>
    <row r="4" spans="1:10" ht="15" customHeight="1" x14ac:dyDescent="0.3">
      <c r="A4" s="70" t="s">
        <v>166</v>
      </c>
      <c r="B4" s="71"/>
      <c r="C4" s="71"/>
      <c r="D4" s="71"/>
      <c r="E4" s="71"/>
      <c r="F4" s="72"/>
    </row>
    <row r="5" spans="1:10" ht="23.25" customHeight="1" x14ac:dyDescent="0.3">
      <c r="A5" s="2" t="s">
        <v>58</v>
      </c>
      <c r="B5" s="2" t="s">
        <v>167</v>
      </c>
      <c r="C5" s="2" t="s">
        <v>168</v>
      </c>
      <c r="D5" s="2" t="s">
        <v>169</v>
      </c>
      <c r="E5" s="2" t="s">
        <v>170</v>
      </c>
      <c r="F5" s="2" t="s">
        <v>171</v>
      </c>
      <c r="G5" s="2" t="s">
        <v>172</v>
      </c>
      <c r="H5" s="22"/>
      <c r="I5" s="22"/>
      <c r="J5" s="22"/>
    </row>
    <row r="6" spans="1:10" ht="15" customHeight="1" x14ac:dyDescent="0.3">
      <c r="A6" s="55" t="s">
        <v>64</v>
      </c>
      <c r="B6" s="56">
        <f>'HPP Gabungan (Full Cost)'!$D$5</f>
        <v>10831.964839406381</v>
      </c>
      <c r="C6" s="36">
        <v>20000</v>
      </c>
      <c r="D6" s="56">
        <f t="shared" ref="D6:D13" si="0">C6-B6</f>
        <v>9168.0351605936194</v>
      </c>
      <c r="E6" s="57">
        <f t="shared" ref="E6:E13" si="1">D6/C6</f>
        <v>0.45840175802968097</v>
      </c>
      <c r="F6" s="36">
        <v>0</v>
      </c>
      <c r="G6" s="36">
        <v>0</v>
      </c>
      <c r="H6" s="38"/>
    </row>
    <row r="7" spans="1:10" ht="15" customHeight="1" x14ac:dyDescent="0.3">
      <c r="A7" s="58" t="s">
        <v>65</v>
      </c>
      <c r="B7" s="59">
        <f>'HPP Gabungan (Full Cost)'!$D$6</f>
        <v>10134.464839406381</v>
      </c>
      <c r="C7" s="36">
        <v>20000</v>
      </c>
      <c r="D7" s="59">
        <f t="shared" si="0"/>
        <v>9865.5351605936194</v>
      </c>
      <c r="E7" s="60">
        <f t="shared" si="1"/>
        <v>0.49327675802968096</v>
      </c>
      <c r="F7" s="36">
        <v>12</v>
      </c>
      <c r="G7" s="36">
        <v>24</v>
      </c>
      <c r="H7" s="38"/>
    </row>
    <row r="8" spans="1:10" ht="15" customHeight="1" x14ac:dyDescent="0.3">
      <c r="A8" s="55" t="s">
        <v>66</v>
      </c>
      <c r="B8" s="56">
        <f>'HPP Gabungan (Full Cost)'!$D$7</f>
        <v>15358.631506073049</v>
      </c>
      <c r="C8" s="36">
        <v>25000</v>
      </c>
      <c r="D8" s="56">
        <f t="shared" si="0"/>
        <v>9641.3684939269515</v>
      </c>
      <c r="E8" s="57">
        <f t="shared" si="1"/>
        <v>0.38565473975707804</v>
      </c>
      <c r="F8" s="36">
        <v>0</v>
      </c>
      <c r="G8" s="36">
        <v>0</v>
      </c>
      <c r="H8" s="38"/>
    </row>
    <row r="9" spans="1:10" ht="15" customHeight="1" x14ac:dyDescent="0.3">
      <c r="A9" s="58" t="s">
        <v>67</v>
      </c>
      <c r="B9" s="59">
        <f>'HPP Gabungan (Full Cost)'!$D$8</f>
        <v>14661.131506073049</v>
      </c>
      <c r="C9" s="36">
        <v>25000</v>
      </c>
      <c r="D9" s="59">
        <f t="shared" si="0"/>
        <v>10338.868493926951</v>
      </c>
      <c r="E9" s="60">
        <f t="shared" si="1"/>
        <v>0.41355473975707807</v>
      </c>
      <c r="F9" s="36">
        <v>12</v>
      </c>
      <c r="G9" s="36">
        <v>24</v>
      </c>
      <c r="H9" s="38"/>
    </row>
    <row r="10" spans="1:10" ht="15" customHeight="1" x14ac:dyDescent="0.3">
      <c r="A10" s="55" t="s">
        <v>68</v>
      </c>
      <c r="B10" s="56">
        <f>'HPP Gabungan (Full Cost)'!$D$9</f>
        <v>16598.631506073049</v>
      </c>
      <c r="C10" s="36">
        <v>35000</v>
      </c>
      <c r="D10" s="56">
        <f t="shared" si="0"/>
        <v>18401.368493926951</v>
      </c>
      <c r="E10" s="57">
        <f t="shared" si="1"/>
        <v>0.52575338554077</v>
      </c>
      <c r="F10" s="36">
        <v>0</v>
      </c>
      <c r="G10" s="36">
        <v>0</v>
      </c>
      <c r="H10" s="38"/>
    </row>
    <row r="11" spans="1:10" ht="15" customHeight="1" x14ac:dyDescent="0.3">
      <c r="A11" s="58" t="s">
        <v>69</v>
      </c>
      <c r="B11" s="59">
        <f>'HPP Gabungan (Full Cost)'!$D$10</f>
        <v>15901.131506073049</v>
      </c>
      <c r="C11" s="36">
        <v>35000</v>
      </c>
      <c r="D11" s="59">
        <f t="shared" si="0"/>
        <v>19098.868493926951</v>
      </c>
      <c r="E11" s="60">
        <f t="shared" si="1"/>
        <v>0.54568195696934152</v>
      </c>
      <c r="F11" s="36">
        <v>12</v>
      </c>
      <c r="G11" s="36">
        <v>24</v>
      </c>
      <c r="H11" s="38"/>
    </row>
    <row r="12" spans="1:10" ht="15" customHeight="1" x14ac:dyDescent="0.3">
      <c r="A12" s="55" t="s">
        <v>70</v>
      </c>
      <c r="B12" s="56">
        <f>'HPP Gabungan (Full Cost)'!$D$11</f>
        <v>12394.464839406381</v>
      </c>
      <c r="C12" s="36">
        <v>25000</v>
      </c>
      <c r="D12" s="56">
        <f t="shared" si="0"/>
        <v>12605.535160593619</v>
      </c>
      <c r="E12" s="57">
        <f t="shared" si="1"/>
        <v>0.5042214064237448</v>
      </c>
      <c r="F12" s="36">
        <v>0</v>
      </c>
      <c r="G12" s="36">
        <v>0</v>
      </c>
      <c r="H12" s="38"/>
    </row>
    <row r="13" spans="1:10" ht="15" customHeight="1" x14ac:dyDescent="0.3">
      <c r="A13" s="58" t="s">
        <v>71</v>
      </c>
      <c r="B13" s="59">
        <f>'HPP Gabungan (Full Cost)'!$D$12</f>
        <v>11696.964839406381</v>
      </c>
      <c r="C13" s="36">
        <v>25000</v>
      </c>
      <c r="D13" s="59">
        <f t="shared" si="0"/>
        <v>13303.035160593619</v>
      </c>
      <c r="E13" s="60">
        <f t="shared" si="1"/>
        <v>0.53212140642374472</v>
      </c>
      <c r="F13" s="36">
        <v>12</v>
      </c>
      <c r="G13" s="36">
        <v>24</v>
      </c>
      <c r="H13" s="38"/>
    </row>
    <row r="14" spans="1:10" ht="14.25" customHeight="1" x14ac:dyDescent="0.3">
      <c r="A14" s="39" t="s">
        <v>173</v>
      </c>
      <c r="F14" s="40">
        <f>SUM(F6:F13)</f>
        <v>48</v>
      </c>
      <c r="G14" s="40">
        <f>SUM(G6:G13)</f>
        <v>96</v>
      </c>
      <c r="H14" s="10" t="str">
        <f>"Target: "&amp;'Tenaga Kerja &amp; Overhead'!$D$69&amp;" (weekday) / "&amp;'Tenaga Kerja &amp; Overhead'!$D$70&amp;" (weekend)"</f>
        <v>Target: 48 (weekday) / 96 (weekend)</v>
      </c>
    </row>
    <row r="15" spans="1:10" ht="15" customHeight="1" x14ac:dyDescent="0.3">
      <c r="A15" s="85" t="s">
        <v>174</v>
      </c>
      <c r="B15" s="71"/>
      <c r="C15" s="71"/>
      <c r="D15" s="71"/>
      <c r="E15" s="72"/>
    </row>
    <row r="16" spans="1:10" ht="15" customHeight="1" x14ac:dyDescent="0.3">
      <c r="A16" s="2" t="s">
        <v>58</v>
      </c>
      <c r="B16" s="2" t="s">
        <v>175</v>
      </c>
      <c r="C16" s="2" t="s">
        <v>176</v>
      </c>
      <c r="D16" s="2" t="s">
        <v>177</v>
      </c>
      <c r="E16" s="2" t="s">
        <v>178</v>
      </c>
      <c r="F16" s="41"/>
    </row>
    <row r="17" spans="1:6" ht="15" customHeight="1" x14ac:dyDescent="0.3">
      <c r="A17" s="55" t="str">
        <f t="shared" ref="A17:A24" si="2">A6</f>
        <v>Roti Original - Adonan Bungasari</v>
      </c>
      <c r="B17" s="61">
        <f>C17/'Tenaga Kerja &amp; Overhead'!$D$71</f>
        <v>0</v>
      </c>
      <c r="C17" s="56">
        <f>F6*'Tenaga Kerja &amp; Overhead'!$D$72+G6*'Tenaga Kerja &amp; Overhead'!$D$73</f>
        <v>0</v>
      </c>
      <c r="D17" s="56">
        <f t="shared" ref="D17:D24" si="3">C17*C6</f>
        <v>0</v>
      </c>
      <c r="E17" s="56">
        <f t="shared" ref="E17:E24" si="4">C17*D6</f>
        <v>0</v>
      </c>
      <c r="F17" s="24"/>
    </row>
    <row r="18" spans="1:6" ht="15" customHeight="1" x14ac:dyDescent="0.3">
      <c r="A18" s="58" t="str">
        <f t="shared" si="2"/>
        <v>Roti Original - Adonan Natural</v>
      </c>
      <c r="B18" s="62">
        <f>C18/'Tenaga Kerja &amp; Overhead'!$D$71</f>
        <v>16</v>
      </c>
      <c r="C18" s="59">
        <f>F7*'Tenaga Kerja &amp; Overhead'!$D$72+G7*'Tenaga Kerja &amp; Overhead'!$D$73</f>
        <v>415.68</v>
      </c>
      <c r="D18" s="59">
        <f t="shared" si="3"/>
        <v>8313600</v>
      </c>
      <c r="E18" s="59">
        <f t="shared" si="4"/>
        <v>4100905.6555555556</v>
      </c>
      <c r="F18" s="24"/>
    </row>
    <row r="19" spans="1:6" ht="15" customHeight="1" x14ac:dyDescent="0.3">
      <c r="A19" s="55" t="str">
        <f t="shared" si="2"/>
        <v>Roti Keju - Adonan Bungasari</v>
      </c>
      <c r="B19" s="61">
        <f>C19/'Tenaga Kerja &amp; Overhead'!$D$71</f>
        <v>0</v>
      </c>
      <c r="C19" s="56">
        <f>F8*'Tenaga Kerja &amp; Overhead'!$D$72+G8*'Tenaga Kerja &amp; Overhead'!$D$73</f>
        <v>0</v>
      </c>
      <c r="D19" s="56">
        <f t="shared" si="3"/>
        <v>0</v>
      </c>
      <c r="E19" s="56">
        <f t="shared" si="4"/>
        <v>0</v>
      </c>
      <c r="F19" s="24"/>
    </row>
    <row r="20" spans="1:6" ht="15" customHeight="1" x14ac:dyDescent="0.3">
      <c r="A20" s="58" t="str">
        <f t="shared" si="2"/>
        <v>Roti Keju - Adonan Natural</v>
      </c>
      <c r="B20" s="62">
        <f>C20/'Tenaga Kerja &amp; Overhead'!$D$71</f>
        <v>16</v>
      </c>
      <c r="C20" s="59">
        <f>F9*'Tenaga Kerja &amp; Overhead'!$D$72+G9*'Tenaga Kerja &amp; Overhead'!$D$73</f>
        <v>415.68</v>
      </c>
      <c r="D20" s="59">
        <f t="shared" si="3"/>
        <v>10392000</v>
      </c>
      <c r="E20" s="59">
        <f t="shared" si="4"/>
        <v>4297660.8555555549</v>
      </c>
      <c r="F20" s="24"/>
    </row>
    <row r="21" spans="1:6" ht="15" customHeight="1" x14ac:dyDescent="0.3">
      <c r="A21" s="55" t="str">
        <f t="shared" si="2"/>
        <v>Roti Daging - Adonan Bungasari</v>
      </c>
      <c r="B21" s="61">
        <f>C21/'Tenaga Kerja &amp; Overhead'!$D$71</f>
        <v>0</v>
      </c>
      <c r="C21" s="56">
        <f>F10*'Tenaga Kerja &amp; Overhead'!$D$72+G10*'Tenaga Kerja &amp; Overhead'!$D$73</f>
        <v>0</v>
      </c>
      <c r="D21" s="56">
        <f t="shared" si="3"/>
        <v>0</v>
      </c>
      <c r="E21" s="56">
        <f t="shared" si="4"/>
        <v>0</v>
      </c>
      <c r="F21" s="24"/>
    </row>
    <row r="22" spans="1:6" ht="15" customHeight="1" x14ac:dyDescent="0.3">
      <c r="A22" s="58" t="str">
        <f t="shared" si="2"/>
        <v>Roti Daging - Adonan Natural</v>
      </c>
      <c r="B22" s="62">
        <f>C22/'Tenaga Kerja &amp; Overhead'!$D$71</f>
        <v>16</v>
      </c>
      <c r="C22" s="59">
        <f>F11*'Tenaga Kerja &amp; Overhead'!$D$72+G11*'Tenaga Kerja &amp; Overhead'!$D$73</f>
        <v>415.68</v>
      </c>
      <c r="D22" s="59">
        <f t="shared" si="3"/>
        <v>14548800</v>
      </c>
      <c r="E22" s="59">
        <f t="shared" si="4"/>
        <v>7939017.6555555556</v>
      </c>
      <c r="F22" s="24"/>
    </row>
    <row r="23" spans="1:6" ht="15" customHeight="1" x14ac:dyDescent="0.3">
      <c r="A23" s="55" t="str">
        <f t="shared" si="2"/>
        <v>Roti Coklat - Adonan Bungasari</v>
      </c>
      <c r="B23" s="61">
        <f>C23/'Tenaga Kerja &amp; Overhead'!$D$71</f>
        <v>0</v>
      </c>
      <c r="C23" s="56">
        <f>F12*'Tenaga Kerja &amp; Overhead'!$D$72+G12*'Tenaga Kerja &amp; Overhead'!$D$73</f>
        <v>0</v>
      </c>
      <c r="D23" s="56">
        <f t="shared" si="3"/>
        <v>0</v>
      </c>
      <c r="E23" s="56">
        <f t="shared" si="4"/>
        <v>0</v>
      </c>
      <c r="F23" s="24"/>
    </row>
    <row r="24" spans="1:6" ht="15" customHeight="1" x14ac:dyDescent="0.3">
      <c r="A24" s="58" t="str">
        <f t="shared" si="2"/>
        <v>Roti Coklat - Adonan Natural</v>
      </c>
      <c r="B24" s="62">
        <f>C24/'Tenaga Kerja &amp; Overhead'!$D$71</f>
        <v>16</v>
      </c>
      <c r="C24" s="59">
        <f>F13*'Tenaga Kerja &amp; Overhead'!$D$72+G13*'Tenaga Kerja &amp; Overhead'!$D$73</f>
        <v>415.68</v>
      </c>
      <c r="D24" s="59">
        <f t="shared" si="3"/>
        <v>10392000</v>
      </c>
      <c r="E24" s="59">
        <f t="shared" si="4"/>
        <v>5529805.6555555556</v>
      </c>
      <c r="F24" s="24"/>
    </row>
    <row r="25" spans="1:6" ht="15" customHeight="1" x14ac:dyDescent="0.3">
      <c r="A25" s="13" t="s">
        <v>179</v>
      </c>
      <c r="B25" s="86"/>
      <c r="C25" s="14">
        <f>SUM(C17:C24)</f>
        <v>1662.72</v>
      </c>
      <c r="D25" s="14">
        <f>SUM(D17:D24)</f>
        <v>43646400</v>
      </c>
      <c r="E25" s="14">
        <f>SUM(E17:E24)</f>
        <v>21867389.822222222</v>
      </c>
      <c r="F25" s="27"/>
    </row>
    <row r="27" spans="1:6" ht="15" customHeight="1" x14ac:dyDescent="0.3">
      <c r="A27" s="11" t="s">
        <v>180</v>
      </c>
    </row>
    <row r="28" spans="1:6" ht="23.25" customHeight="1" x14ac:dyDescent="0.3">
      <c r="A28" s="2" t="s">
        <v>181</v>
      </c>
      <c r="B28" s="2" t="s">
        <v>182</v>
      </c>
      <c r="C28" s="2" t="s">
        <v>183</v>
      </c>
      <c r="D28" s="2" t="s">
        <v>184</v>
      </c>
      <c r="E28" s="2" t="s">
        <v>185</v>
      </c>
      <c r="F28" s="2" t="s">
        <v>186</v>
      </c>
    </row>
    <row r="29" spans="1:6" ht="15" customHeight="1" x14ac:dyDescent="0.3">
      <c r="A29" s="4" t="s">
        <v>187</v>
      </c>
      <c r="B29" s="3" t="s">
        <v>188</v>
      </c>
      <c r="C29" s="36">
        <v>1500000</v>
      </c>
      <c r="D29" s="16">
        <f>C29</f>
        <v>1500000</v>
      </c>
      <c r="E29" s="16">
        <f>E25-D29</f>
        <v>20367389.822222222</v>
      </c>
      <c r="F29" s="37">
        <f>E29/E25</f>
        <v>0.93140470754878757</v>
      </c>
    </row>
    <row r="30" spans="1:6" ht="15" customHeight="1" x14ac:dyDescent="0.3">
      <c r="A30" s="4" t="s">
        <v>189</v>
      </c>
      <c r="B30" s="3" t="s">
        <v>190</v>
      </c>
      <c r="C30" s="42">
        <v>0.1</v>
      </c>
      <c r="D30" s="16">
        <f>C30*D25</f>
        <v>4364640</v>
      </c>
      <c r="E30" s="16">
        <f>E25-D30</f>
        <v>17502749.822222222</v>
      </c>
      <c r="F30" s="37">
        <f>E30/E25</f>
        <v>0.80040416183716001</v>
      </c>
    </row>
    <row r="31" spans="1:6" ht="15" customHeight="1" x14ac:dyDescent="0.3">
      <c r="A31" s="43" t="s">
        <v>191</v>
      </c>
      <c r="B31" s="12" t="s">
        <v>192</v>
      </c>
      <c r="C31" s="44">
        <v>0.1</v>
      </c>
      <c r="D31" s="45">
        <f>C31*E25</f>
        <v>2186738.9822222223</v>
      </c>
      <c r="E31" s="45">
        <f>E25-D31</f>
        <v>19680650.84</v>
      </c>
      <c r="F31" s="44">
        <f>E31/E25</f>
        <v>0.9</v>
      </c>
    </row>
    <row r="33" spans="1:6" ht="15" customHeight="1" x14ac:dyDescent="0.3">
      <c r="A33" s="75" t="s">
        <v>193</v>
      </c>
      <c r="B33" s="69"/>
      <c r="C33" s="69"/>
      <c r="D33" s="69"/>
      <c r="E33" s="69"/>
      <c r="F33" s="69"/>
    </row>
    <row r="36" spans="1:6" ht="15" customHeight="1" x14ac:dyDescent="0.3">
      <c r="A36" s="70" t="s">
        <v>194</v>
      </c>
      <c r="B36" s="71"/>
      <c r="C36" s="71"/>
      <c r="D36" s="71"/>
      <c r="E36" s="71"/>
      <c r="F36" s="72"/>
    </row>
    <row r="37" spans="1:6" ht="15.75" customHeight="1" x14ac:dyDescent="0.3">
      <c r="A37" s="84" t="s">
        <v>195</v>
      </c>
      <c r="B37" s="69"/>
      <c r="C37" s="69"/>
      <c r="D37" s="69"/>
      <c r="E37" s="69"/>
      <c r="F37" s="69"/>
    </row>
    <row r="38" spans="1:6" ht="48" customHeight="1" x14ac:dyDescent="0.3">
      <c r="A38" s="82" t="s">
        <v>196</v>
      </c>
      <c r="B38" s="69"/>
      <c r="C38" s="69"/>
      <c r="D38" s="69"/>
      <c r="E38" s="69"/>
      <c r="F38" s="69"/>
    </row>
    <row r="39" spans="1:6" ht="15.75" customHeight="1" x14ac:dyDescent="0.3">
      <c r="A39" s="84" t="s">
        <v>197</v>
      </c>
      <c r="B39" s="69"/>
      <c r="C39" s="69"/>
      <c r="D39" s="69"/>
      <c r="E39" s="69"/>
      <c r="F39" s="69"/>
    </row>
    <row r="40" spans="1:6" ht="48" customHeight="1" x14ac:dyDescent="0.3">
      <c r="A40" s="82" t="s">
        <v>198</v>
      </c>
      <c r="B40" s="69"/>
      <c r="C40" s="69"/>
      <c r="D40" s="69"/>
      <c r="E40" s="69"/>
      <c r="F40" s="69"/>
    </row>
    <row r="41" spans="1:6" ht="15.75" customHeight="1" x14ac:dyDescent="0.3">
      <c r="A41" s="84" t="s">
        <v>199</v>
      </c>
      <c r="B41" s="69"/>
      <c r="C41" s="69"/>
      <c r="D41" s="69"/>
      <c r="E41" s="69"/>
      <c r="F41" s="69"/>
    </row>
    <row r="42" spans="1:6" ht="48" customHeight="1" x14ac:dyDescent="0.3">
      <c r="A42" s="82" t="s">
        <v>200</v>
      </c>
      <c r="B42" s="69"/>
      <c r="C42" s="69"/>
      <c r="D42" s="69"/>
      <c r="E42" s="69"/>
      <c r="F42" s="69"/>
    </row>
    <row r="43" spans="1:6" ht="15.75" customHeight="1" x14ac:dyDescent="0.3">
      <c r="A43" s="84" t="s">
        <v>201</v>
      </c>
      <c r="B43" s="69"/>
      <c r="C43" s="69"/>
      <c r="D43" s="69"/>
      <c r="E43" s="69"/>
      <c r="F43" s="69"/>
    </row>
    <row r="44" spans="1:6" ht="60" customHeight="1" x14ac:dyDescent="0.3">
      <c r="A44" s="82" t="s">
        <v>202</v>
      </c>
      <c r="B44" s="69"/>
      <c r="C44" s="69"/>
      <c r="D44" s="69"/>
      <c r="E44" s="69"/>
      <c r="F44" s="69"/>
    </row>
    <row r="45" spans="1:6" ht="15.75" customHeight="1" x14ac:dyDescent="0.3">
      <c r="A45" s="84" t="s">
        <v>203</v>
      </c>
      <c r="B45" s="69"/>
      <c r="C45" s="69"/>
      <c r="D45" s="69"/>
      <c r="E45" s="69"/>
      <c r="F45" s="69"/>
    </row>
    <row r="46" spans="1:6" ht="39.75" customHeight="1" x14ac:dyDescent="0.3">
      <c r="A46" s="82" t="s">
        <v>204</v>
      </c>
      <c r="B46" s="69"/>
      <c r="C46" s="69"/>
      <c r="D46" s="69"/>
      <c r="E46" s="69"/>
      <c r="F46" s="69"/>
    </row>
    <row r="48" spans="1:6" ht="15" customHeight="1" x14ac:dyDescent="0.3">
      <c r="A48" s="83" t="s">
        <v>205</v>
      </c>
      <c r="B48" s="69"/>
      <c r="C48" s="69"/>
      <c r="D48" s="69"/>
      <c r="E48" s="69"/>
      <c r="F48" s="69"/>
    </row>
    <row r="49" spans="1:6" ht="68.25" customHeight="1" x14ac:dyDescent="0.3">
      <c r="A49" s="83" t="s">
        <v>206</v>
      </c>
      <c r="B49" s="69"/>
      <c r="C49" s="69"/>
      <c r="D49" s="69"/>
      <c r="E49" s="69"/>
      <c r="F49" s="69"/>
    </row>
    <row r="51" spans="1:6" x14ac:dyDescent="0.3">
      <c r="A51" s="63" t="s">
        <v>207</v>
      </c>
    </row>
    <row r="52" spans="1:6" x14ac:dyDescent="0.3">
      <c r="A52" s="64" t="s">
        <v>30</v>
      </c>
      <c r="B52" s="65" t="s">
        <v>208</v>
      </c>
    </row>
    <row r="53" spans="1:6" x14ac:dyDescent="0.3">
      <c r="A53" s="66" t="s">
        <v>209</v>
      </c>
      <c r="B53" s="65" t="s">
        <v>210</v>
      </c>
    </row>
    <row r="54" spans="1:6" x14ac:dyDescent="0.3">
      <c r="A54" s="67" t="s">
        <v>211</v>
      </c>
      <c r="B54" s="65" t="s">
        <v>212</v>
      </c>
    </row>
  </sheetData>
  <mergeCells count="18">
    <mergeCell ref="A15:E15"/>
    <mergeCell ref="A44:F44"/>
    <mergeCell ref="A1:F1"/>
    <mergeCell ref="A37:F37"/>
    <mergeCell ref="A45:F45"/>
    <mergeCell ref="A2:G2"/>
    <mergeCell ref="A40:F40"/>
    <mergeCell ref="A4:F4"/>
    <mergeCell ref="A39:F39"/>
    <mergeCell ref="A43:F43"/>
    <mergeCell ref="A38:F38"/>
    <mergeCell ref="A33:F33"/>
    <mergeCell ref="A49:F49"/>
    <mergeCell ref="A41:F41"/>
    <mergeCell ref="A42:F42"/>
    <mergeCell ref="A46:F46"/>
    <mergeCell ref="A36:F36"/>
    <mergeCell ref="A48:F48"/>
  </mergeCells>
  <pageMargins left="0.75" right="0.75" top="1" bottom="1" header="0.511811023622047" footer="0.511811023622047"/>
  <pageSetup paperSize="9" orientation="portrait" horizontalDpi="300" verticalDpi="300"/>
  <legacyDrawing r:id="rId1"/>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$F$14='Tenaga Kerja &amp; Overhead'!$D$69</xm:f>
            <x14:dxf>
              <fill>
                <patternFill patternType="solid">
                  <fgColor rgb="FFC6EFCE"/>
                  <bgColor rgb="FFC6EFCE"/>
                </patternFill>
              </fill>
            </x14:dxf>
          </x14:cfRule>
          <x14:cfRule type="expression" priority="2" stopIfTrue="1" id="{00000000-000E-0000-0400-000002000000}">
            <xm:f>$F$14&lt;&gt;'Tenaga Kerja &amp; Overhead'!$D$69</xm:f>
            <x14:dxf>
              <fill>
                <patternFill patternType="solid">
                  <fgColor rgb="FFFFC7CE"/>
                  <bgColor rgb="FFFFC7CE"/>
                </patternFill>
              </fill>
            </x14:dxf>
          </x14:cfRule>
          <xm:sqref>F14</xm:sqref>
        </x14:conditionalFormatting>
        <x14:conditionalFormatting xmlns:xm="http://schemas.microsoft.com/office/excel/2006/main">
          <x14:cfRule type="expression" priority="3" stopIfTrue="1" id="{00000000-000E-0000-0400-000003000000}">
            <xm:f>$G$14='Tenaga Kerja &amp; Overhead'!$D$70</xm:f>
            <x14:dxf>
              <fill>
                <patternFill patternType="solid">
                  <fgColor rgb="FFC6EFCE"/>
                  <bgColor rgb="FFC6EFCE"/>
                </patternFill>
              </fill>
            </x14:dxf>
          </x14:cfRule>
          <x14:cfRule type="expression" priority="4" stopIfTrue="1" id="{00000000-000E-0000-0400-000004000000}">
            <xm:f>$G$14&lt;&gt;'Tenaga Kerja &amp; Overhead'!$D$70</xm:f>
            <x14:dxf>
              <fill>
                <patternFill patternType="solid">
                  <fgColor rgb="FFFFC7CE"/>
                  <bgColor rgb="FFFFC7CE"/>
                </patternFill>
              </fill>
            </x14:dxf>
          </x14:cfRule>
          <xm:sqref>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Harga Bahan</vt:lpstr>
      <vt:lpstr>Resep &amp; HPP</vt:lpstr>
      <vt:lpstr>Tenaga Kerja &amp; Overhead</vt:lpstr>
      <vt:lpstr>HPP Gabungan (Full Cost)</vt:lpstr>
      <vt:lpstr>Margin &amp; Simulasi Sewa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nanda</cp:lastModifiedBy>
  <cp:revision>0</cp:revision>
  <dcterms:created xsi:type="dcterms:W3CDTF">2026-07-16T02:59:31Z</dcterms:created>
  <dcterms:modified xsi:type="dcterms:W3CDTF">2026-07-19T12:56:18Z</dcterms:modified>
  <dc:language>en-US</dc:language>
</cp:coreProperties>
</file>